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TRIMESTRE" sheetId="1" r:id="rId4"/>
    <sheet state="visible" name="2 TRIMESTRE" sheetId="2" r:id="rId5"/>
  </sheets>
  <definedNames>
    <definedName hidden="1" localSheetId="1" name="_xlnm._FilterDatabase">'2 TRIMESTRE'!$B$1:$I$41</definedName>
  </definedNames>
  <calcPr/>
  <extLst>
    <ext uri="GoogleSheetsCustomDataVersion2">
      <go:sheetsCustomData xmlns:go="http://customooxmlschemas.google.com/" r:id="rId6" roundtripDataChecksum="i5pA4SI+ShbLC1BmI0h3oiVtZbAFvECRWRLFsroDJj4="/>
    </ext>
  </extLst>
</workbook>
</file>

<file path=xl/sharedStrings.xml><?xml version="1.0" encoding="utf-8"?>
<sst xmlns="http://schemas.openxmlformats.org/spreadsheetml/2006/main" count="87" uniqueCount="55">
  <si>
    <t>Colaboradores - Innovatis</t>
  </si>
  <si>
    <t>NOME</t>
  </si>
  <si>
    <t>DATA DE ADMISSÃO</t>
  </si>
  <si>
    <t>JANEIRO</t>
  </si>
  <si>
    <t>FEVEREIRO</t>
  </si>
  <si>
    <t>MARÇO</t>
  </si>
  <si>
    <t>TRIMESTRE</t>
  </si>
  <si>
    <t>BONIFICAÇÃO (%)</t>
  </si>
  <si>
    <t>VALOR BONIFICAÇÃO</t>
  </si>
  <si>
    <t>Alexandre Mariano</t>
  </si>
  <si>
    <t>Raissa Cartaxo</t>
  </si>
  <si>
    <t>Taís Santino</t>
  </si>
  <si>
    <t>Sthephanie Vilar</t>
  </si>
  <si>
    <t>Dayane Cavalcante</t>
  </si>
  <si>
    <t>Laryssa Costa</t>
  </si>
  <si>
    <t>Letícia Costa (bolsa de 1.200)</t>
  </si>
  <si>
    <t>Lucas Montenegro</t>
  </si>
  <si>
    <t>Maria Clara</t>
  </si>
  <si>
    <t>Gabriel Matias</t>
  </si>
  <si>
    <t>Isabela Vanessa</t>
  </si>
  <si>
    <t>Layze Lima</t>
  </si>
  <si>
    <t>Janailma Santos</t>
  </si>
  <si>
    <t>Érlon Gabriel</t>
  </si>
  <si>
    <t>Tarcylla Kivia</t>
  </si>
  <si>
    <t>Larice Ferreira</t>
  </si>
  <si>
    <t>Andrea Albuquerque</t>
  </si>
  <si>
    <t>`</t>
  </si>
  <si>
    <t>Erlon Reydne</t>
  </si>
  <si>
    <t>Ítalo Oliveira (bolsa de 1.200)</t>
  </si>
  <si>
    <t>Gabriel -  Marketing</t>
  </si>
  <si>
    <t>David Lopes</t>
  </si>
  <si>
    <t>Gabriel Queiroz</t>
  </si>
  <si>
    <t>Heitor Neto</t>
  </si>
  <si>
    <t>Victor Eduardo</t>
  </si>
  <si>
    <t>Gabriel Chaves</t>
  </si>
  <si>
    <t>Samuel Araújo (bolsa de 1.200)</t>
  </si>
  <si>
    <t>Yarimma Karol</t>
  </si>
  <si>
    <t>Camila Ramos (bolsa de 10.000)</t>
  </si>
  <si>
    <t>Danniela da Silva Carvalho</t>
  </si>
  <si>
    <t>Kriscia Jheniffer Gomes Ribeiro</t>
  </si>
  <si>
    <t xml:space="preserve">Thaiane Ximenes dos Santos </t>
  </si>
  <si>
    <t>ABRIL</t>
  </si>
  <si>
    <t>MAIO</t>
  </si>
  <si>
    <t>JUNHO</t>
  </si>
  <si>
    <t>Ana Carolina Galdino Aniceto</t>
  </si>
  <si>
    <t>Andre Luiz de Luna Guerra</t>
  </si>
  <si>
    <t>José Iago Feitosa Muniz</t>
  </si>
  <si>
    <t>José Nunes Damacena Neto</t>
  </si>
  <si>
    <t>Livia dos Santos Falcão</t>
  </si>
  <si>
    <t>Lívia Maria Dantas França</t>
  </si>
  <si>
    <t>Lizandra Holanda de Araujo Sousa</t>
  </si>
  <si>
    <t>Marcos Andrey de Lira Albuquerque</t>
  </si>
  <si>
    <t xml:space="preserve">Maria Gabriela dos Santos Rodrigues </t>
  </si>
  <si>
    <t>Nathan Meira Nóbrega</t>
  </si>
  <si>
    <t>Pedro Henrique Lins Queiroga de Castro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</si>
</sst>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dd/mm/yyyy"/>
  </numFmts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theme="0"/>
      <name val="Calibri"/>
    </font>
    <font>
      <b/>
      <sz val="10.0"/>
      <color rgb="FFFFFFFF"/>
      <name val="Calibri"/>
    </font>
    <font>
      <b/>
      <sz val="10.0"/>
      <color theme="0"/>
      <name val="Arial"/>
    </font>
    <font>
      <b/>
      <sz val="13.0"/>
      <color theme="1"/>
      <name val="Calibri"/>
    </font>
    <font>
      <sz val="12.0"/>
      <color theme="1"/>
      <name val="Arial"/>
    </font>
    <font>
      <b/>
      <sz val="13.0"/>
      <color rgb="FFFF0000"/>
      <name val="Calibri"/>
    </font>
    <font>
      <sz val="12.0"/>
      <color rgb="FFFF0000"/>
      <name val="Arial"/>
    </font>
    <font>
      <sz val="10.0"/>
      <color rgb="FF000000"/>
      <name val="Times New Roman"/>
    </font>
    <font>
      <sz val="10.0"/>
      <color rgb="FF000000"/>
      <name val="Arial"/>
    </font>
    <font>
      <sz val="12.0"/>
      <color rgb="FF000000"/>
      <name val="Arial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356854"/>
        <bgColor rgb="FF356854"/>
      </patternFill>
    </fill>
    <fill>
      <patternFill patternType="solid">
        <fgColor rgb="FFFFE599"/>
        <bgColor rgb="FFFFE599"/>
      </patternFill>
    </fill>
  </fills>
  <borders count="6">
    <border/>
    <border>
      <left/>
      <right/>
      <top/>
      <bottom/>
    </border>
    <border>
      <left style="thin">
        <color rgb="FFF3F3F3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5" fillId="2" fontId="5" numFmtId="164" xfId="0" applyAlignment="1" applyBorder="1" applyFont="1" applyNumberFormat="1">
      <alignment horizontal="center" vertical="center"/>
    </xf>
    <xf borderId="5" fillId="2" fontId="5" numFmtId="9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center" readingOrder="0" vertical="center"/>
    </xf>
    <xf borderId="5" fillId="0" fontId="8" numFmtId="164" xfId="0" applyAlignment="1" applyBorder="1" applyFont="1" applyNumberFormat="1">
      <alignment vertical="center"/>
    </xf>
    <xf borderId="5" fillId="0" fontId="8" numFmtId="9" xfId="0" applyAlignment="1" applyBorder="1" applyFont="1" applyNumberFormat="1">
      <alignment horizontal="center" vertical="center"/>
    </xf>
    <xf borderId="5" fillId="3" fontId="8" numFmtId="164" xfId="0" applyAlignment="1" applyBorder="1" applyFill="1" applyFont="1" applyNumberFormat="1">
      <alignment vertical="center"/>
    </xf>
    <xf borderId="0" fillId="0" fontId="8" numFmtId="0" xfId="0" applyAlignment="1" applyFont="1">
      <alignment vertical="center"/>
    </xf>
    <xf borderId="5" fillId="4" fontId="7" numFmtId="0" xfId="0" applyAlignment="1" applyBorder="1" applyFill="1" applyFont="1">
      <alignment horizontal="left" vertical="center"/>
    </xf>
    <xf borderId="5" fillId="4" fontId="7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5" fillId="5" fontId="8" numFmtId="164" xfId="0" applyAlignment="1" applyBorder="1" applyFont="1" applyNumberFormat="1">
      <alignment vertical="center"/>
    </xf>
    <xf borderId="5" fillId="5" fontId="7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3" fontId="9" numFmtId="0" xfId="0" applyAlignment="1" applyBorder="1" applyFont="1">
      <alignment horizontal="left" vertical="center"/>
    </xf>
    <xf borderId="5" fillId="3" fontId="10" numFmtId="164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0" fillId="0" fontId="8" numFmtId="0" xfId="0" applyAlignment="1" applyFont="1">
      <alignment readingOrder="0" vertical="center"/>
    </xf>
    <xf borderId="5" fillId="6" fontId="9" numFmtId="0" xfId="0" applyAlignment="1" applyBorder="1" applyFont="1">
      <alignment horizontal="left" shrinkToFit="0" vertical="center" wrapText="1"/>
    </xf>
    <xf borderId="0" fillId="7" fontId="8" numFmtId="0" xfId="0" applyAlignment="1" applyFill="1" applyFont="1">
      <alignment readingOrder="0" vertical="center"/>
    </xf>
    <xf borderId="5" fillId="0" fontId="9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5" fillId="0" fontId="11" numFmtId="0" xfId="0" applyAlignment="1" applyBorder="1" applyFont="1">
      <alignment horizontal="left" vertical="center"/>
    </xf>
    <xf borderId="5" fillId="0" fontId="3" numFmtId="164" xfId="0" applyAlignment="1" applyBorder="1" applyFont="1" applyNumberFormat="1">
      <alignment vertical="center"/>
    </xf>
    <xf borderId="5" fillId="0" fontId="12" numFmtId="9" xfId="0" applyAlignment="1" applyBorder="1" applyFont="1" applyNumberFormat="1">
      <alignment horizontal="center"/>
    </xf>
    <xf borderId="5" fillId="3" fontId="7" numFmtId="0" xfId="0" applyAlignment="1" applyBorder="1" applyFont="1">
      <alignment horizontal="left" readingOrder="0" vertical="center"/>
    </xf>
    <xf borderId="5" fillId="0" fontId="8" numFmtId="164" xfId="0" applyAlignment="1" applyBorder="1" applyFont="1" applyNumberFormat="1">
      <alignment readingOrder="0" vertical="center"/>
    </xf>
    <xf borderId="0" fillId="0" fontId="3" numFmtId="0" xfId="0" applyAlignment="1" applyFont="1">
      <alignment vertical="center"/>
    </xf>
    <xf borderId="0" fillId="3" fontId="7" numFmtId="0" xfId="0" applyAlignment="1" applyFont="1">
      <alignment horizontal="left" vertical="center"/>
    </xf>
    <xf borderId="0" fillId="0" fontId="8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0" fillId="0" fontId="8" numFmtId="9" xfId="0" applyAlignment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3" numFmtId="9" xfId="0" applyAlignment="1" applyFont="1" applyNumberFormat="1">
      <alignment horizontal="center" vertical="center"/>
    </xf>
    <xf borderId="0" fillId="0" fontId="12" numFmtId="164" xfId="0" applyAlignment="1" applyFont="1" applyNumberFormat="1">
      <alignment horizontal="center"/>
    </xf>
    <xf borderId="0" fillId="0" fontId="12" numFmtId="164" xfId="0" applyFont="1" applyNumberFormat="1"/>
    <xf borderId="0" fillId="0" fontId="12" numFmtId="9" xfId="0" applyAlignment="1" applyFont="1" applyNumberFormat="1">
      <alignment horizontal="center"/>
    </xf>
    <xf borderId="1" fillId="8" fontId="4" numFmtId="0" xfId="0" applyAlignment="1" applyBorder="1" applyFill="1" applyFont="1">
      <alignment horizontal="center" vertical="center"/>
    </xf>
    <xf borderId="5" fillId="8" fontId="4" numFmtId="0" xfId="0" applyAlignment="1" applyBorder="1" applyFont="1">
      <alignment horizontal="center" vertical="center"/>
    </xf>
    <xf borderId="5" fillId="8" fontId="5" numFmtId="0" xfId="0" applyAlignment="1" applyBorder="1" applyFont="1">
      <alignment horizontal="center" readingOrder="0" vertical="center"/>
    </xf>
    <xf borderId="5" fillId="8" fontId="5" numFmtId="164" xfId="0" applyAlignment="1" applyBorder="1" applyFont="1" applyNumberFormat="1">
      <alignment horizontal="center" readingOrder="0" vertical="center"/>
    </xf>
    <xf borderId="5" fillId="8" fontId="5" numFmtId="164" xfId="0" applyAlignment="1" applyBorder="1" applyFont="1" applyNumberFormat="1">
      <alignment horizontal="center" vertical="center"/>
    </xf>
    <xf borderId="5" fillId="8" fontId="5" numFmtId="9" xfId="0" applyAlignment="1" applyBorder="1" applyFont="1" applyNumberFormat="1">
      <alignment horizontal="center" vertical="center"/>
    </xf>
    <xf borderId="0" fillId="3" fontId="7" numFmtId="0" xfId="0" applyAlignment="1" applyFont="1">
      <alignment horizontal="left" vertical="center"/>
    </xf>
    <xf borderId="5" fillId="3" fontId="7" numFmtId="0" xfId="0" applyAlignment="1" applyBorder="1" applyFont="1">
      <alignment horizontal="left" vertical="center"/>
    </xf>
    <xf borderId="5" fillId="3" fontId="8" numFmtId="165" xfId="0" applyAlignment="1" applyBorder="1" applyFont="1" applyNumberFormat="1">
      <alignment horizontal="center" readingOrder="0" vertical="center"/>
    </xf>
    <xf borderId="5" fillId="3" fontId="8" numFmtId="9" xfId="0" applyAlignment="1" applyBorder="1" applyFont="1" applyNumberFormat="1">
      <alignment horizontal="center" readingOrder="0" vertical="center"/>
    </xf>
    <xf borderId="5" fillId="3" fontId="13" numFmtId="164" xfId="0" applyAlignment="1" applyBorder="1" applyFont="1" applyNumberFormat="1">
      <alignment vertical="center"/>
    </xf>
    <xf borderId="0" fillId="6" fontId="7" numFmtId="0" xfId="0" applyAlignment="1" applyFont="1">
      <alignment horizontal="left" vertical="center"/>
    </xf>
    <xf borderId="5" fillId="9" fontId="7" numFmtId="0" xfId="0" applyAlignment="1" applyBorder="1" applyFill="1" applyFont="1">
      <alignment horizontal="left" vertical="center"/>
    </xf>
    <xf borderId="5" fillId="6" fontId="8" numFmtId="165" xfId="0" applyAlignment="1" applyBorder="1" applyFont="1" applyNumberFormat="1">
      <alignment horizontal="center" readingOrder="0" vertical="center"/>
    </xf>
    <xf borderId="5" fillId="6" fontId="8" numFmtId="164" xfId="0" applyAlignment="1" applyBorder="1" applyFont="1" applyNumberFormat="1">
      <alignment vertical="center"/>
    </xf>
    <xf borderId="5" fillId="6" fontId="8" numFmtId="9" xfId="0" applyAlignment="1" applyBorder="1" applyFont="1" applyNumberFormat="1">
      <alignment horizontal="center" vertical="center"/>
    </xf>
    <xf borderId="5" fillId="9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5" fillId="3" fontId="8" numFmtId="164" xfId="0" applyAlignment="1" applyBorder="1" applyFont="1" applyNumberFormat="1">
      <alignment readingOrder="0" vertical="center"/>
    </xf>
    <xf borderId="5" fillId="6" fontId="7" numFmtId="0" xfId="0" applyAlignment="1" applyBorder="1" applyFont="1">
      <alignment horizontal="left" vertical="center"/>
    </xf>
    <xf borderId="5" fillId="6" fontId="8" numFmtId="164" xfId="0" applyAlignment="1" applyBorder="1" applyFont="1" applyNumberFormat="1">
      <alignment readingOrder="0" vertical="center"/>
    </xf>
    <xf borderId="5" fillId="6" fontId="8" numFmtId="9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6" fontId="13" numFmtId="164" xfId="0" applyAlignment="1" applyBorder="1" applyFont="1" applyNumberFormat="1">
      <alignment vertical="center"/>
    </xf>
    <xf borderId="5" fillId="3" fontId="8" numFmtId="9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0" fillId="6" fontId="11" numFmtId="0" xfId="0" applyAlignment="1" applyFont="1">
      <alignment horizontal="left" vertical="center"/>
    </xf>
    <xf borderId="5" fillId="6" fontId="11" numFmtId="0" xfId="0" applyAlignment="1" applyBorder="1" applyFont="1">
      <alignment horizontal="left" vertical="center"/>
    </xf>
    <xf borderId="5" fillId="6" fontId="3" numFmtId="164" xfId="0" applyAlignment="1" applyBorder="1" applyFont="1" applyNumberFormat="1">
      <alignment vertical="center"/>
    </xf>
    <xf borderId="5" fillId="6" fontId="12" numFmtId="9" xfId="0" applyAlignment="1" applyBorder="1" applyFont="1" applyNumberFormat="1">
      <alignment horizontal="center"/>
    </xf>
    <xf borderId="0" fillId="3" fontId="11" numFmtId="0" xfId="0" applyAlignment="1" applyFont="1">
      <alignment horizontal="left" vertical="center"/>
    </xf>
    <xf borderId="5" fillId="3" fontId="7" numFmtId="0" xfId="0" applyAlignment="1" applyBorder="1" applyFont="1">
      <alignment horizontal="left" readingOrder="0" vertical="center"/>
    </xf>
    <xf borderId="5" fillId="3" fontId="3" numFmtId="164" xfId="0" applyAlignment="1" applyBorder="1" applyFont="1" applyNumberFormat="1">
      <alignment readingOrder="0" vertical="center"/>
    </xf>
    <xf borderId="0" fillId="3" fontId="8" numFmtId="164" xfId="0" applyAlignment="1" applyFont="1" applyNumberFormat="1">
      <alignment horizontal="center" readingOrder="0" vertical="center"/>
    </xf>
    <xf borderId="0" fillId="3" fontId="8" numFmtId="164" xfId="0" applyAlignment="1" applyFont="1" applyNumberFormat="1">
      <alignment readingOrder="0" vertical="center"/>
    </xf>
    <xf borderId="0" fillId="3" fontId="8" numFmtId="0" xfId="0" applyAlignment="1" applyFont="1">
      <alignment vertical="center"/>
    </xf>
    <xf borderId="0" fillId="3" fontId="8" numFmtId="9" xfId="0" applyAlignment="1" applyFont="1" applyNumberFormat="1">
      <alignment horizontal="center" readingOrder="0" vertical="center"/>
    </xf>
    <xf borderId="0" fillId="3" fontId="13" numFmtId="164" xfId="0" applyAlignment="1" applyFont="1" applyNumberFormat="1">
      <alignment vertical="center"/>
    </xf>
    <xf borderId="0" fillId="3" fontId="12" numFmtId="0" xfId="0" applyAlignment="1" applyFont="1">
      <alignment vertical="center"/>
    </xf>
    <xf borderId="0" fillId="3" fontId="1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1 TRIMEST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104775</xdr:rowOff>
    </xdr:from>
    <xdr:ext cx="1724025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104775</xdr:rowOff>
    </xdr:from>
    <xdr:ext cx="1724025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2:J3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 TRIMEST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48.88"/>
    <col customWidth="1" min="2" max="2" width="48.88"/>
    <col customWidth="1" min="3" max="5" width="15.13"/>
    <col customWidth="1" min="6" max="7" width="16.38"/>
    <col customWidth="1" min="8" max="8" width="15.0"/>
    <col customWidth="1" min="9" max="9" width="19.25"/>
    <col customWidth="1" min="10" max="27" width="12.75"/>
  </cols>
  <sheetData>
    <row r="1" ht="57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36.0" customHeight="1">
      <c r="A2" s="6"/>
      <c r="B2" s="7" t="s">
        <v>1</v>
      </c>
      <c r="C2" s="8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1" t="s">
        <v>7</v>
      </c>
      <c r="I2" s="10" t="s">
        <v>8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21.0" customHeight="1">
      <c r="A3" s="14">
        <v>1.0</v>
      </c>
      <c r="B3" s="15" t="s">
        <v>9</v>
      </c>
      <c r="C3" s="16">
        <v>45505.0</v>
      </c>
      <c r="D3" s="17">
        <v>7500.0</v>
      </c>
      <c r="E3" s="17">
        <v>7500.0</v>
      </c>
      <c r="F3" s="17">
        <v>7500.0</v>
      </c>
      <c r="G3" s="17">
        <f>SUM('1 TRIMESTRE'!$D3:$F3)</f>
        <v>22500</v>
      </c>
      <c r="H3" s="18">
        <v>0.18</v>
      </c>
      <c r="I3" s="19">
        <f>'1 TRIMESTRE'!$G3*'1 TRIMESTRE'!$H3</f>
        <v>4050</v>
      </c>
      <c r="J3" s="2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21.0" customHeight="1">
      <c r="A4" s="14"/>
      <c r="B4" s="21" t="s">
        <v>10</v>
      </c>
      <c r="C4" s="16">
        <v>45733.0</v>
      </c>
      <c r="D4" s="17">
        <v>7500.0</v>
      </c>
      <c r="E4" s="17">
        <v>7500.0</v>
      </c>
      <c r="F4" s="17">
        <v>7500.0</v>
      </c>
      <c r="G4" s="17">
        <f>SUM('1 TRIMESTRE'!$D4:$F4)</f>
        <v>22500</v>
      </c>
      <c r="H4" s="18">
        <v>0.25</v>
      </c>
      <c r="I4" s="19">
        <f>'1 TRIMESTRE'!$G4*'1 TRIMESTRE'!$H4</f>
        <v>5625</v>
      </c>
      <c r="J4" s="2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14"/>
      <c r="B5" s="15" t="s">
        <v>11</v>
      </c>
      <c r="C5" s="16">
        <v>45614.0</v>
      </c>
      <c r="D5" s="17">
        <v>2500.0</v>
      </c>
      <c r="E5" s="17">
        <v>2500.0</v>
      </c>
      <c r="F5" s="17">
        <v>2500.0</v>
      </c>
      <c r="G5" s="17">
        <f>SUM('1 TRIMESTRE'!$D5:$F5)</f>
        <v>7500</v>
      </c>
      <c r="H5" s="18">
        <v>0.18</v>
      </c>
      <c r="I5" s="19">
        <f>'1 TRIMESTRE'!$G5*'1 TRIMESTRE'!$H5</f>
        <v>1350</v>
      </c>
      <c r="J5" s="2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21.0" customHeight="1">
      <c r="A6" s="14"/>
      <c r="B6" s="22" t="s">
        <v>12</v>
      </c>
      <c r="C6" s="16">
        <v>45173.0</v>
      </c>
      <c r="D6" s="17">
        <v>9500.0</v>
      </c>
      <c r="E6" s="17">
        <v>9500.0</v>
      </c>
      <c r="F6" s="17">
        <v>9500.0</v>
      </c>
      <c r="G6" s="17">
        <f>SUM('1 TRIMESTRE'!$D6:$F6)</f>
        <v>28500</v>
      </c>
      <c r="H6" s="18">
        <v>0.25</v>
      </c>
      <c r="I6" s="19">
        <f>'1 TRIMESTRE'!$G6*'1 TRIMESTRE'!$H6</f>
        <v>7125</v>
      </c>
      <c r="J6" s="2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21.0" customHeight="1">
      <c r="A7" s="14"/>
      <c r="B7" s="23" t="s">
        <v>13</v>
      </c>
      <c r="C7" s="16">
        <v>45306.0</v>
      </c>
      <c r="D7" s="24">
        <v>4500.0</v>
      </c>
      <c r="E7" s="24">
        <v>6000.0</v>
      </c>
      <c r="F7" s="24">
        <v>6000.0</v>
      </c>
      <c r="G7" s="17">
        <f>SUM('1 TRIMESTRE'!$D7:$F7)</f>
        <v>16500</v>
      </c>
      <c r="H7" s="18">
        <v>0.18</v>
      </c>
      <c r="I7" s="19">
        <f>'1 TRIMESTRE'!$G7*'1 TRIMESTRE'!$H7</f>
        <v>2970</v>
      </c>
      <c r="J7" s="2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21.0" customHeight="1">
      <c r="A8" s="14"/>
      <c r="B8" s="25" t="s">
        <v>14</v>
      </c>
      <c r="C8" s="16">
        <v>45391.0</v>
      </c>
      <c r="D8" s="24">
        <v>2500.0</v>
      </c>
      <c r="E8" s="24">
        <v>3500.0</v>
      </c>
      <c r="F8" s="24">
        <v>3500.0</v>
      </c>
      <c r="G8" s="17">
        <f>SUM('1 TRIMESTRE'!$D8:$F8)</f>
        <v>9500</v>
      </c>
      <c r="H8" s="18">
        <v>0.18</v>
      </c>
      <c r="I8" s="19">
        <f>'1 TRIMESTRE'!$G8*'1 TRIMESTRE'!$H8</f>
        <v>1710</v>
      </c>
      <c r="J8" s="2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21.0" customHeight="1">
      <c r="A9" s="14"/>
      <c r="B9" s="25" t="s">
        <v>15</v>
      </c>
      <c r="C9" s="16">
        <v>46091.0</v>
      </c>
      <c r="D9" s="24"/>
      <c r="E9" s="24"/>
      <c r="F9" s="24">
        <v>1200.0</v>
      </c>
      <c r="G9" s="17">
        <f>SUM('1 TRIMESTRE'!$D9:$F9)</f>
        <v>1200</v>
      </c>
      <c r="H9" s="18">
        <v>0.18</v>
      </c>
      <c r="I9" s="19">
        <f>'1 TRIMESTRE'!$G9*'1 TRIMESTRE'!$H9</f>
        <v>216</v>
      </c>
      <c r="J9" s="2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21.0" customHeight="1">
      <c r="A10" s="26">
        <v>24.0</v>
      </c>
      <c r="B10" s="22" t="s">
        <v>16</v>
      </c>
      <c r="C10" s="16">
        <v>44013.0</v>
      </c>
      <c r="D10" s="24">
        <v>9000.0</v>
      </c>
      <c r="E10" s="24">
        <v>9000.0</v>
      </c>
      <c r="F10" s="24">
        <v>9000.0</v>
      </c>
      <c r="G10" s="17">
        <f>SUM('1 TRIMESTRE'!$D10:$F10)</f>
        <v>27000</v>
      </c>
      <c r="H10" s="18">
        <v>0.25</v>
      </c>
      <c r="I10" s="19">
        <f>'1 TRIMESTRE'!$G10*'1 TRIMESTRE'!$H10</f>
        <v>6750</v>
      </c>
      <c r="J10" s="2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21.0" customHeight="1">
      <c r="A11" s="26">
        <v>29.0</v>
      </c>
      <c r="B11" s="27" t="s">
        <v>17</v>
      </c>
      <c r="C11" s="16">
        <v>45251.0</v>
      </c>
      <c r="D11" s="17">
        <v>2500.0</v>
      </c>
      <c r="E11" s="17">
        <v>2500.0</v>
      </c>
      <c r="F11" s="17">
        <v>2500.0</v>
      </c>
      <c r="G11" s="17">
        <f>SUM('1 TRIMESTRE'!$D11:$F11)</f>
        <v>7500</v>
      </c>
      <c r="H11" s="18">
        <v>0.18</v>
      </c>
      <c r="I11" s="19">
        <f>'1 TRIMESTRE'!$G11*'1 TRIMESTRE'!$H11</f>
        <v>1350</v>
      </c>
      <c r="J11" s="2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21.0" customHeight="1">
      <c r="A12" s="26"/>
      <c r="B12" s="15" t="s">
        <v>18</v>
      </c>
      <c r="C12" s="16">
        <v>45839.0</v>
      </c>
      <c r="D12" s="17">
        <v>1200.0</v>
      </c>
      <c r="E12" s="17">
        <v>1200.0</v>
      </c>
      <c r="F12" s="17">
        <v>1200.0</v>
      </c>
      <c r="G12" s="17">
        <f>SUM('1 TRIMESTRE'!$D12:$F12)</f>
        <v>3600</v>
      </c>
      <c r="H12" s="18">
        <v>0.18</v>
      </c>
      <c r="I12" s="19">
        <f>'1 TRIMESTRE'!$G12*'1 TRIMESTRE'!$H12</f>
        <v>648</v>
      </c>
      <c r="J12" s="2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21.0" customHeight="1">
      <c r="A13" s="28">
        <v>20.0</v>
      </c>
      <c r="B13" s="29" t="s">
        <v>19</v>
      </c>
      <c r="C13" s="16">
        <v>45572.0</v>
      </c>
      <c r="D13" s="17">
        <v>3500.0</v>
      </c>
      <c r="E13" s="17">
        <v>3500.0</v>
      </c>
      <c r="F13" s="17">
        <v>3500.0</v>
      </c>
      <c r="G13" s="17">
        <f>SUM('1 TRIMESTRE'!$D13:$F13)</f>
        <v>10500</v>
      </c>
      <c r="H13" s="18">
        <v>0.18</v>
      </c>
      <c r="I13" s="19">
        <f>'1 TRIMESTRE'!$G13*'1 TRIMESTRE'!$H13</f>
        <v>1890</v>
      </c>
      <c r="J13" s="2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21.0" customHeight="1">
      <c r="A14" s="28">
        <v>26.0</v>
      </c>
      <c r="B14" s="29" t="s">
        <v>20</v>
      </c>
      <c r="C14" s="16">
        <v>45327.0</v>
      </c>
      <c r="D14" s="17">
        <v>2600.0</v>
      </c>
      <c r="E14" s="17">
        <v>3500.0</v>
      </c>
      <c r="F14" s="17">
        <v>3500.0</v>
      </c>
      <c r="G14" s="17">
        <f>SUM('1 TRIMESTRE'!$D14:$F14)</f>
        <v>9600</v>
      </c>
      <c r="H14" s="18">
        <v>0.18</v>
      </c>
      <c r="I14" s="19">
        <f>'1 TRIMESTRE'!$G14*'1 TRIMESTRE'!$H14</f>
        <v>1728</v>
      </c>
      <c r="J14" s="2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21.0" customHeight="1">
      <c r="A15" s="28"/>
      <c r="B15" s="29" t="s">
        <v>21</v>
      </c>
      <c r="C15" s="16">
        <v>45742.0</v>
      </c>
      <c r="D15" s="17">
        <v>6000.0</v>
      </c>
      <c r="E15" s="17">
        <v>7500.0</v>
      </c>
      <c r="F15" s="17">
        <v>7500.0</v>
      </c>
      <c r="G15" s="17">
        <f>SUM('1 TRIMESTRE'!$D15:$F15)</f>
        <v>21000</v>
      </c>
      <c r="H15" s="18">
        <v>0.18</v>
      </c>
      <c r="I15" s="19">
        <f>'1 TRIMESTRE'!$G15*'1 TRIMESTRE'!$H15</f>
        <v>3780</v>
      </c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21.0" customHeight="1">
      <c r="A16" s="28"/>
      <c r="B16" s="30" t="s">
        <v>22</v>
      </c>
      <c r="C16" s="16"/>
      <c r="D16" s="17">
        <v>1200.0</v>
      </c>
      <c r="E16" s="17">
        <v>1200.0</v>
      </c>
      <c r="F16" s="17">
        <v>1200.0</v>
      </c>
      <c r="G16" s="17">
        <f>SUM('1 TRIMESTRE'!$D16:$F16)</f>
        <v>3600</v>
      </c>
      <c r="H16" s="18">
        <v>0.18</v>
      </c>
      <c r="I16" s="31">
        <f>'1 TRIMESTRE'!$G16*'1 TRIMESTRE'!$H16</f>
        <v>648</v>
      </c>
      <c r="J16" s="2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21.0" customHeight="1">
      <c r="A17" s="28"/>
      <c r="B17" s="32" t="s">
        <v>23</v>
      </c>
      <c r="C17" s="16">
        <v>46042.0</v>
      </c>
      <c r="D17" s="17">
        <v>917.0</v>
      </c>
      <c r="E17" s="17">
        <v>2500.0</v>
      </c>
      <c r="F17" s="17">
        <v>2500.0</v>
      </c>
      <c r="G17" s="17">
        <f>SUM('1 TRIMESTRE'!$D17:$F17)</f>
        <v>5917</v>
      </c>
      <c r="H17" s="18">
        <v>0.18</v>
      </c>
      <c r="I17" s="19">
        <f>'1 TRIMESTRE'!$G17*'1 TRIMESTRE'!$H17</f>
        <v>1065.06</v>
      </c>
      <c r="J17" s="33">
        <v>1350.0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21.0" customHeight="1">
      <c r="A18" s="28">
        <v>41.0</v>
      </c>
      <c r="B18" s="34" t="s">
        <v>24</v>
      </c>
      <c r="C18" s="16"/>
      <c r="D18" s="17">
        <v>4500.0</v>
      </c>
      <c r="E18" s="17">
        <v>4500.0</v>
      </c>
      <c r="F18" s="17">
        <v>4500.0</v>
      </c>
      <c r="G18" s="17">
        <f>SUM('1 TRIMESTRE'!$D18:$F18)</f>
        <v>13500</v>
      </c>
      <c r="H18" s="18">
        <v>0.18</v>
      </c>
      <c r="I18" s="31">
        <f>'1 TRIMESTRE'!$G18*'1 TRIMESTRE'!$H18</f>
        <v>2430</v>
      </c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21.0" customHeight="1">
      <c r="A19" s="14">
        <v>5.0</v>
      </c>
      <c r="B19" s="21" t="s">
        <v>25</v>
      </c>
      <c r="C19" s="16">
        <v>45847.0</v>
      </c>
      <c r="D19" s="17">
        <v>7500.0</v>
      </c>
      <c r="E19" s="17">
        <v>7500.0</v>
      </c>
      <c r="F19" s="17">
        <v>7500.0</v>
      </c>
      <c r="G19" s="17">
        <f>SUM('1 TRIMESTRE'!$D19:$F19)</f>
        <v>22500</v>
      </c>
      <c r="H19" s="18">
        <v>0.25</v>
      </c>
      <c r="I19" s="19">
        <f>'1 TRIMESTRE'!$G19*'1 TRIMESTRE'!$H19</f>
        <v>5625</v>
      </c>
      <c r="J19" s="35" t="s">
        <v>26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21.0" customHeight="1">
      <c r="A20" s="14"/>
      <c r="B20" s="36" t="s">
        <v>27</v>
      </c>
      <c r="C20" s="16"/>
      <c r="D20" s="17">
        <v>2500.0</v>
      </c>
      <c r="E20" s="17">
        <v>3500.0</v>
      </c>
      <c r="F20" s="17">
        <v>3500.0</v>
      </c>
      <c r="G20" s="17">
        <f>SUM('1 TRIMESTRE'!$D20:$F20)</f>
        <v>9500</v>
      </c>
      <c r="H20" s="18">
        <v>0.18</v>
      </c>
      <c r="I20" s="31">
        <f>'1 TRIMESTRE'!$G20*'1 TRIMESTRE'!$H20</f>
        <v>1710</v>
      </c>
      <c r="J20" s="2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21.0" customHeight="1">
      <c r="A21" s="14"/>
      <c r="B21" s="25" t="s">
        <v>28</v>
      </c>
      <c r="C21" s="16">
        <v>46092.0</v>
      </c>
      <c r="D21" s="17"/>
      <c r="E21" s="17"/>
      <c r="F21" s="17">
        <v>1200.0</v>
      </c>
      <c r="G21" s="17">
        <f>SUM('1 TRIMESTRE'!$D21:$F21)</f>
        <v>1200</v>
      </c>
      <c r="H21" s="18">
        <v>0.18</v>
      </c>
      <c r="I21" s="19">
        <f>'1 TRIMESTRE'!$G21*'1 TRIMESTRE'!$H21</f>
        <v>216</v>
      </c>
      <c r="J21" s="2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21.0" hidden="1" customHeight="1">
      <c r="A22" s="14">
        <v>16.0</v>
      </c>
      <c r="B22" s="25" t="s">
        <v>29</v>
      </c>
      <c r="C22" s="16"/>
      <c r="D22" s="17">
        <v>3000.0</v>
      </c>
      <c r="E22" s="17"/>
      <c r="F22" s="17"/>
      <c r="G22" s="17">
        <f>SUM('1 TRIMESTRE'!$D22:$F22)</f>
        <v>3000</v>
      </c>
      <c r="H22" s="18">
        <v>0.18</v>
      </c>
      <c r="I22" s="19">
        <f>'1 TRIMESTRE'!$G22*'1 TRIMESTRE'!$H22</f>
        <v>540</v>
      </c>
      <c r="J22" s="2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21.0" customHeight="1">
      <c r="A23" s="14"/>
      <c r="B23" s="25" t="s">
        <v>30</v>
      </c>
      <c r="C23" s="16">
        <v>46028.0</v>
      </c>
      <c r="D23" s="17">
        <v>4500.0</v>
      </c>
      <c r="E23" s="17">
        <v>4500.0</v>
      </c>
      <c r="F23" s="17">
        <v>4500.0</v>
      </c>
      <c r="G23" s="17">
        <f>SUM('1 TRIMESTRE'!$D23:$F23)</f>
        <v>13500</v>
      </c>
      <c r="H23" s="18">
        <v>0.18</v>
      </c>
      <c r="I23" s="19">
        <f>'1 TRIMESTRE'!$G23*'1 TRIMESTRE'!$H23</f>
        <v>2430</v>
      </c>
      <c r="J23" s="2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21.0" customHeight="1">
      <c r="A24" s="28">
        <v>12.0</v>
      </c>
      <c r="B24" s="29" t="s">
        <v>31</v>
      </c>
      <c r="C24" s="16">
        <v>45817.0</v>
      </c>
      <c r="D24" s="17">
        <v>3000.0</v>
      </c>
      <c r="E24" s="17">
        <v>3000.0</v>
      </c>
      <c r="F24" s="17">
        <v>3000.0</v>
      </c>
      <c r="G24" s="17">
        <f>SUM('1 TRIMESTRE'!$D24:$F24)</f>
        <v>9000</v>
      </c>
      <c r="H24" s="18">
        <v>0.18</v>
      </c>
      <c r="I24" s="19">
        <f>'1 TRIMESTRE'!$G24*'1 TRIMESTRE'!$H24</f>
        <v>1620</v>
      </c>
      <c r="J24" s="2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14">
        <v>19.0</v>
      </c>
      <c r="B25" s="21" t="s">
        <v>32</v>
      </c>
      <c r="C25" s="16">
        <v>45870.0</v>
      </c>
      <c r="D25" s="17">
        <v>7500.0</v>
      </c>
      <c r="E25" s="17">
        <v>7500.0</v>
      </c>
      <c r="F25" s="17">
        <v>7500.0</v>
      </c>
      <c r="G25" s="17">
        <f>SUM('1 TRIMESTRE'!$D25:$F25)</f>
        <v>22500</v>
      </c>
      <c r="H25" s="18">
        <v>0.25</v>
      </c>
      <c r="I25" s="19">
        <f>'1 TRIMESTRE'!$G25*'1 TRIMESTRE'!$H25</f>
        <v>5625</v>
      </c>
      <c r="J25" s="2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21.0" customHeight="1">
      <c r="A26" s="26">
        <v>37.0</v>
      </c>
      <c r="B26" s="23" t="s">
        <v>33</v>
      </c>
      <c r="C26" s="16">
        <v>45251.0</v>
      </c>
      <c r="D26" s="17">
        <v>3000.0</v>
      </c>
      <c r="E26" s="17">
        <v>3000.0</v>
      </c>
      <c r="F26" s="17">
        <v>3000.0</v>
      </c>
      <c r="G26" s="17">
        <f>SUM('1 TRIMESTRE'!$D26:$F26)</f>
        <v>9000</v>
      </c>
      <c r="H26" s="18">
        <v>0.18</v>
      </c>
      <c r="I26" s="19">
        <f>'1 TRIMESTRE'!$G26*'1 TRIMESTRE'!$H26</f>
        <v>1620</v>
      </c>
      <c r="J26" s="2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26">
        <v>23.0</v>
      </c>
      <c r="B27" s="32" t="s">
        <v>34</v>
      </c>
      <c r="C27" s="16">
        <v>45940.0</v>
      </c>
      <c r="D27" s="17">
        <v>3500.0</v>
      </c>
      <c r="E27" s="17">
        <v>3500.0</v>
      </c>
      <c r="F27" s="17">
        <v>3500.0</v>
      </c>
      <c r="G27" s="17">
        <f>SUM('1 TRIMESTRE'!$D27:$F27)</f>
        <v>10500</v>
      </c>
      <c r="H27" s="18">
        <v>0.18</v>
      </c>
      <c r="I27" s="19">
        <f>'1 TRIMESTRE'!$G27*'1 TRIMESTRE'!$H27</f>
        <v>1890</v>
      </c>
      <c r="J27" s="2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26"/>
      <c r="B28" s="32" t="s">
        <v>35</v>
      </c>
      <c r="C28" s="16">
        <v>46100.0</v>
      </c>
      <c r="D28" s="17"/>
      <c r="E28" s="17"/>
      <c r="F28" s="17">
        <v>600.0</v>
      </c>
      <c r="G28" s="17">
        <f>SUM('1 TRIMESTRE'!$D28:$F28)</f>
        <v>600</v>
      </c>
      <c r="H28" s="18">
        <v>0.18</v>
      </c>
      <c r="I28" s="19">
        <f>'1 TRIMESTRE'!$G28*'1 TRIMESTRE'!$H28</f>
        <v>108</v>
      </c>
      <c r="J28" s="2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21.0" customHeight="1">
      <c r="A29" s="37">
        <v>42.0</v>
      </c>
      <c r="B29" s="32" t="s">
        <v>36</v>
      </c>
      <c r="C29" s="16">
        <v>46023.0</v>
      </c>
      <c r="D29" s="17">
        <v>5000.0</v>
      </c>
      <c r="E29" s="17">
        <v>6000.0</v>
      </c>
      <c r="F29" s="17">
        <v>6000.0</v>
      </c>
      <c r="G29" s="17">
        <f>SUM('1 TRIMESTRE'!$D29:$F29)</f>
        <v>17000</v>
      </c>
      <c r="H29" s="18">
        <v>0.18</v>
      </c>
      <c r="I29" s="19">
        <f>'1 TRIMESTRE'!$G29*'1 TRIMESTRE'!$H29</f>
        <v>3060</v>
      </c>
      <c r="J29" s="2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21.0" customHeight="1">
      <c r="A30" s="37">
        <v>43.0</v>
      </c>
      <c r="B30" s="32" t="s">
        <v>37</v>
      </c>
      <c r="C30" s="16">
        <v>46104.0</v>
      </c>
      <c r="D30" s="17"/>
      <c r="E30" s="17"/>
      <c r="F30" s="17">
        <v>2903.0</v>
      </c>
      <c r="G30" s="17">
        <f>SUM('1 TRIMESTRE'!$D30:$F30)</f>
        <v>2903</v>
      </c>
      <c r="H30" s="18">
        <v>0.18</v>
      </c>
      <c r="I30" s="19">
        <f>'1 TRIMESTRE'!$G30*'1 TRIMESTRE'!$H30</f>
        <v>522.54</v>
      </c>
      <c r="J30" s="2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21.0" hidden="1" customHeight="1">
      <c r="A31" s="38"/>
      <c r="B31" s="39"/>
      <c r="C31" s="16"/>
      <c r="D31" s="40"/>
      <c r="E31" s="17"/>
      <c r="F31" s="17"/>
      <c r="G31" s="17">
        <f>SUM('1 TRIMESTRE'!$D31:$F31)</f>
        <v>0</v>
      </c>
      <c r="H31" s="41"/>
      <c r="I31" s="17">
        <f>'1 TRIMESTRE'!$G31*'1 TRIMESTRE'!$H31</f>
        <v>0</v>
      </c>
      <c r="J31" s="2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21.0" customHeight="1">
      <c r="A32" s="38"/>
      <c r="B32" s="42" t="s">
        <v>38</v>
      </c>
      <c r="C32" s="16">
        <v>46048.0</v>
      </c>
      <c r="D32" s="43">
        <v>417.0</v>
      </c>
      <c r="E32" s="43">
        <v>2500.0</v>
      </c>
      <c r="F32" s="43">
        <v>2500.0</v>
      </c>
      <c r="G32" s="17">
        <f>SUM('1 TRIMESTRE'!$D32:$F32)</f>
        <v>5417</v>
      </c>
      <c r="H32" s="18">
        <v>0.18</v>
      </c>
      <c r="I32" s="17">
        <f>'1 TRIMESTRE'!$G32*'1 TRIMESTRE'!$H32</f>
        <v>975.06</v>
      </c>
      <c r="J32" s="33">
        <v>1350.0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21.0" customHeight="1">
      <c r="A33" s="38"/>
      <c r="B33" s="42" t="s">
        <v>39</v>
      </c>
      <c r="C33" s="16">
        <v>45931.0</v>
      </c>
      <c r="D33" s="40"/>
      <c r="E33" s="17"/>
      <c r="F33" s="17"/>
      <c r="G33" s="17">
        <f>SUM('1 TRIMESTRE'!$D33:$F33)</f>
        <v>0</v>
      </c>
      <c r="H33" s="18">
        <v>0.18</v>
      </c>
      <c r="I33" s="17">
        <f>'1 TRIMESTRE'!$G33*'1 TRIMESTRE'!$H33</f>
        <v>0</v>
      </c>
      <c r="J33" s="4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21.0" customHeight="1">
      <c r="A34" s="38"/>
      <c r="B34" s="32" t="s">
        <v>40</v>
      </c>
      <c r="C34" s="16">
        <v>45717.0</v>
      </c>
      <c r="D34" s="40"/>
      <c r="E34" s="17"/>
      <c r="F34" s="17"/>
      <c r="G34" s="17">
        <f>SUM('1 TRIMESTRE'!$D34:$F34)</f>
        <v>0</v>
      </c>
      <c r="H34" s="18">
        <v>0.18</v>
      </c>
      <c r="I34" s="17">
        <f>'1 TRIMESTRE'!$G34*'1 TRIMESTRE'!$H34</f>
        <v>0</v>
      </c>
      <c r="J34" s="4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38"/>
      <c r="B35" s="45"/>
      <c r="C35" s="46"/>
      <c r="D35" s="47"/>
      <c r="E35" s="48"/>
      <c r="F35" s="48"/>
      <c r="G35" s="20"/>
      <c r="H35" s="49"/>
      <c r="I35" s="48">
        <f>SUM(I3:I34)</f>
        <v>69276.66</v>
      </c>
      <c r="J35" s="4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0"/>
      <c r="B36" s="50"/>
      <c r="C36" s="51"/>
      <c r="D36" s="52"/>
      <c r="E36" s="52"/>
      <c r="F36" s="52"/>
      <c r="G36" s="5"/>
      <c r="H36" s="5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0"/>
      <c r="B37" s="50"/>
      <c r="C37" s="51"/>
      <c r="D37" s="52"/>
      <c r="E37" s="52"/>
      <c r="F37" s="52"/>
      <c r="G37" s="5"/>
      <c r="H37" s="5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0"/>
      <c r="B38" s="50"/>
      <c r="C38" s="51"/>
      <c r="D38" s="52"/>
      <c r="E38" s="52"/>
      <c r="F38" s="52"/>
      <c r="G38" s="5"/>
      <c r="H38" s="5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0"/>
      <c r="B39" s="50"/>
      <c r="C39" s="51"/>
      <c r="D39" s="52"/>
      <c r="E39" s="52"/>
      <c r="F39" s="52"/>
      <c r="G39" s="5"/>
      <c r="H39" s="5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0"/>
      <c r="B40" s="50"/>
      <c r="C40" s="51"/>
      <c r="D40" s="52"/>
      <c r="E40" s="52"/>
      <c r="F40" s="52"/>
      <c r="G40" s="5"/>
      <c r="H40" s="5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0"/>
      <c r="B41" s="50"/>
      <c r="C41" s="51"/>
      <c r="D41" s="52"/>
      <c r="E41" s="52"/>
      <c r="F41" s="52"/>
      <c r="G41" s="5"/>
      <c r="H41" s="5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0"/>
      <c r="B42" s="50"/>
      <c r="C42" s="51"/>
      <c r="D42" s="52"/>
      <c r="E42" s="52"/>
      <c r="F42" s="52"/>
      <c r="G42" s="5"/>
      <c r="H42" s="5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0"/>
      <c r="B43" s="50"/>
      <c r="C43" s="51"/>
      <c r="D43" s="52"/>
      <c r="E43" s="52"/>
      <c r="F43" s="52"/>
      <c r="G43" s="5"/>
      <c r="H43" s="5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0"/>
      <c r="B44" s="50"/>
      <c r="C44" s="51"/>
      <c r="D44" s="52"/>
      <c r="E44" s="52"/>
      <c r="F44" s="52"/>
      <c r="G44" s="5"/>
      <c r="H44" s="5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0"/>
      <c r="B45" s="50"/>
      <c r="C45" s="51"/>
      <c r="D45" s="52"/>
      <c r="E45" s="52"/>
      <c r="F45" s="52"/>
      <c r="G45" s="5"/>
      <c r="H45" s="5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0"/>
      <c r="B46" s="50"/>
      <c r="C46" s="51"/>
      <c r="D46" s="52"/>
      <c r="E46" s="52"/>
      <c r="F46" s="52"/>
      <c r="G46" s="5"/>
      <c r="H46" s="5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0"/>
      <c r="B47" s="50"/>
      <c r="C47" s="51"/>
      <c r="D47" s="52"/>
      <c r="E47" s="52"/>
      <c r="F47" s="52"/>
      <c r="G47" s="5"/>
      <c r="H47" s="5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0"/>
      <c r="B48" s="50"/>
      <c r="C48" s="51"/>
      <c r="D48" s="52"/>
      <c r="E48" s="52"/>
      <c r="F48" s="52"/>
      <c r="G48" s="5"/>
      <c r="H48" s="5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0"/>
      <c r="B49" s="50"/>
      <c r="C49" s="51"/>
      <c r="D49" s="52"/>
      <c r="E49" s="52"/>
      <c r="F49" s="52"/>
      <c r="G49" s="5"/>
      <c r="H49" s="5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0"/>
      <c r="B50" s="50"/>
      <c r="C50" s="51"/>
      <c r="D50" s="52"/>
      <c r="E50" s="52"/>
      <c r="F50" s="52"/>
      <c r="G50" s="5"/>
      <c r="H50" s="5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0"/>
      <c r="B51" s="50"/>
      <c r="C51" s="51"/>
      <c r="D51" s="52"/>
      <c r="E51" s="52"/>
      <c r="F51" s="52"/>
      <c r="G51" s="5"/>
      <c r="H51" s="5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0"/>
      <c r="B52" s="50"/>
      <c r="C52" s="51"/>
      <c r="D52" s="52"/>
      <c r="E52" s="52"/>
      <c r="F52" s="52"/>
      <c r="G52" s="5"/>
      <c r="H52" s="5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0"/>
      <c r="B53" s="50"/>
      <c r="C53" s="51"/>
      <c r="D53" s="52"/>
      <c r="E53" s="52"/>
      <c r="F53" s="52"/>
      <c r="G53" s="5"/>
      <c r="H53" s="5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0"/>
      <c r="B54" s="50"/>
      <c r="C54" s="51"/>
      <c r="D54" s="52"/>
      <c r="E54" s="52"/>
      <c r="F54" s="52"/>
      <c r="G54" s="5"/>
      <c r="H54" s="5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0"/>
      <c r="B55" s="50"/>
      <c r="C55" s="51"/>
      <c r="D55" s="52"/>
      <c r="E55" s="52"/>
      <c r="F55" s="52"/>
      <c r="G55" s="5"/>
      <c r="H55" s="5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0"/>
      <c r="B56" s="50"/>
      <c r="C56" s="51"/>
      <c r="D56" s="52"/>
      <c r="E56" s="52"/>
      <c r="F56" s="52"/>
      <c r="G56" s="5"/>
      <c r="H56" s="5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0"/>
      <c r="B57" s="50"/>
      <c r="C57" s="51"/>
      <c r="D57" s="52"/>
      <c r="E57" s="52"/>
      <c r="F57" s="52"/>
      <c r="G57" s="5"/>
      <c r="H57" s="5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0"/>
      <c r="B58" s="50"/>
      <c r="C58" s="51"/>
      <c r="D58" s="52"/>
      <c r="E58" s="52"/>
      <c r="F58" s="52"/>
      <c r="G58" s="5"/>
      <c r="H58" s="53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0"/>
      <c r="B59" s="50"/>
      <c r="C59" s="51"/>
      <c r="D59" s="52"/>
      <c r="E59" s="52"/>
      <c r="F59" s="52"/>
      <c r="G59" s="5"/>
      <c r="H59" s="5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0"/>
      <c r="B60" s="50"/>
      <c r="C60" s="51"/>
      <c r="D60" s="52"/>
      <c r="E60" s="52"/>
      <c r="F60" s="52"/>
      <c r="G60" s="5"/>
      <c r="H60" s="5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0"/>
      <c r="B61" s="50"/>
      <c r="C61" s="51"/>
      <c r="D61" s="52"/>
      <c r="E61" s="52"/>
      <c r="F61" s="52"/>
      <c r="G61" s="5"/>
      <c r="H61" s="5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0"/>
      <c r="B62" s="50"/>
      <c r="C62" s="51"/>
      <c r="D62" s="52"/>
      <c r="E62" s="52"/>
      <c r="F62" s="52"/>
      <c r="G62" s="5"/>
      <c r="H62" s="5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0"/>
      <c r="B63" s="50"/>
      <c r="C63" s="51"/>
      <c r="D63" s="52"/>
      <c r="E63" s="52"/>
      <c r="F63" s="52"/>
      <c r="G63" s="5"/>
      <c r="H63" s="53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0"/>
      <c r="B64" s="50"/>
      <c r="C64" s="51"/>
      <c r="D64" s="52"/>
      <c r="E64" s="52"/>
      <c r="F64" s="52"/>
      <c r="G64" s="5"/>
      <c r="H64" s="5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0"/>
      <c r="B65" s="50"/>
      <c r="C65" s="51"/>
      <c r="D65" s="52"/>
      <c r="E65" s="52"/>
      <c r="F65" s="52"/>
      <c r="G65" s="5"/>
      <c r="H65" s="5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0"/>
      <c r="B66" s="50"/>
      <c r="C66" s="51"/>
      <c r="D66" s="52"/>
      <c r="E66" s="52"/>
      <c r="F66" s="52"/>
      <c r="G66" s="5"/>
      <c r="H66" s="5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0"/>
      <c r="B67" s="50"/>
      <c r="C67" s="51"/>
      <c r="D67" s="52"/>
      <c r="E67" s="52"/>
      <c r="F67" s="52"/>
      <c r="G67" s="5"/>
      <c r="H67" s="5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0"/>
      <c r="B68" s="50"/>
      <c r="C68" s="51"/>
      <c r="D68" s="52"/>
      <c r="E68" s="52"/>
      <c r="F68" s="52"/>
      <c r="G68" s="5"/>
      <c r="H68" s="5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0"/>
      <c r="B69" s="50"/>
      <c r="C69" s="51"/>
      <c r="D69" s="52"/>
      <c r="E69" s="52"/>
      <c r="F69" s="52"/>
      <c r="G69" s="5"/>
      <c r="H69" s="5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0"/>
      <c r="B70" s="50"/>
      <c r="C70" s="51"/>
      <c r="D70" s="52"/>
      <c r="E70" s="52"/>
      <c r="F70" s="52"/>
      <c r="G70" s="5"/>
      <c r="H70" s="5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0"/>
      <c r="B71" s="50"/>
      <c r="C71" s="51"/>
      <c r="D71" s="52"/>
      <c r="E71" s="52"/>
      <c r="F71" s="52"/>
      <c r="G71" s="5"/>
      <c r="H71" s="5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0"/>
      <c r="B72" s="50"/>
      <c r="C72" s="51"/>
      <c r="D72" s="52"/>
      <c r="E72" s="52"/>
      <c r="F72" s="52"/>
      <c r="G72" s="5"/>
      <c r="H72" s="5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0"/>
      <c r="B73" s="50"/>
      <c r="C73" s="51"/>
      <c r="D73" s="52"/>
      <c r="E73" s="52"/>
      <c r="F73" s="52"/>
      <c r="G73" s="5"/>
      <c r="H73" s="5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0"/>
      <c r="B74" s="50"/>
      <c r="C74" s="51"/>
      <c r="D74" s="52"/>
      <c r="E74" s="52"/>
      <c r="F74" s="52"/>
      <c r="G74" s="5"/>
      <c r="H74" s="5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0"/>
      <c r="B75" s="50"/>
      <c r="C75" s="51"/>
      <c r="D75" s="52"/>
      <c r="E75" s="52"/>
      <c r="F75" s="52"/>
      <c r="G75" s="5"/>
      <c r="H75" s="5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0"/>
      <c r="B76" s="50"/>
      <c r="C76" s="51"/>
      <c r="D76" s="52"/>
      <c r="E76" s="52"/>
      <c r="F76" s="52"/>
      <c r="G76" s="5"/>
      <c r="H76" s="5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0"/>
      <c r="B77" s="50"/>
      <c r="C77" s="51"/>
      <c r="D77" s="52"/>
      <c r="E77" s="52"/>
      <c r="F77" s="52"/>
      <c r="G77" s="5"/>
      <c r="H77" s="5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0"/>
      <c r="B78" s="50"/>
      <c r="C78" s="51"/>
      <c r="D78" s="52"/>
      <c r="E78" s="52"/>
      <c r="F78" s="52"/>
      <c r="G78" s="5"/>
      <c r="H78" s="5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0"/>
      <c r="B79" s="50"/>
      <c r="C79" s="51"/>
      <c r="D79" s="52"/>
      <c r="E79" s="52"/>
      <c r="F79" s="52"/>
      <c r="G79" s="5"/>
      <c r="H79" s="5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0"/>
      <c r="B80" s="50"/>
      <c r="C80" s="51"/>
      <c r="D80" s="52"/>
      <c r="E80" s="52"/>
      <c r="F80" s="52"/>
      <c r="G80" s="5"/>
      <c r="H80" s="5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0"/>
      <c r="B81" s="50"/>
      <c r="C81" s="51"/>
      <c r="D81" s="52"/>
      <c r="E81" s="52"/>
      <c r="F81" s="52"/>
      <c r="G81" s="5"/>
      <c r="H81" s="5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0"/>
      <c r="B82" s="50"/>
      <c r="C82" s="51"/>
      <c r="D82" s="52"/>
      <c r="E82" s="52"/>
      <c r="F82" s="52"/>
      <c r="G82" s="5"/>
      <c r="H82" s="5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0"/>
      <c r="B83" s="50"/>
      <c r="C83" s="51"/>
      <c r="D83" s="52"/>
      <c r="E83" s="52"/>
      <c r="F83" s="52"/>
      <c r="G83" s="5"/>
      <c r="H83" s="5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0"/>
      <c r="B84" s="50"/>
      <c r="C84" s="51"/>
      <c r="D84" s="52"/>
      <c r="E84" s="52"/>
      <c r="F84" s="52"/>
      <c r="G84" s="5"/>
      <c r="H84" s="5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0"/>
      <c r="B85" s="50"/>
      <c r="C85" s="51"/>
      <c r="D85" s="52"/>
      <c r="E85" s="52"/>
      <c r="F85" s="52"/>
      <c r="G85" s="5"/>
      <c r="H85" s="5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0"/>
      <c r="B86" s="50"/>
      <c r="C86" s="51"/>
      <c r="D86" s="52"/>
      <c r="E86" s="52"/>
      <c r="F86" s="52"/>
      <c r="G86" s="5"/>
      <c r="H86" s="5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0"/>
      <c r="B87" s="50"/>
      <c r="C87" s="51"/>
      <c r="D87" s="52"/>
      <c r="E87" s="52"/>
      <c r="F87" s="52"/>
      <c r="G87" s="5"/>
      <c r="H87" s="5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0"/>
      <c r="B88" s="50"/>
      <c r="C88" s="51"/>
      <c r="D88" s="52"/>
      <c r="E88" s="52"/>
      <c r="F88" s="52"/>
      <c r="G88" s="5"/>
      <c r="H88" s="5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0"/>
      <c r="B89" s="50"/>
      <c r="C89" s="51"/>
      <c r="D89" s="52"/>
      <c r="E89" s="52"/>
      <c r="F89" s="52"/>
      <c r="G89" s="5"/>
      <c r="H89" s="5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0"/>
      <c r="B90" s="50"/>
      <c r="C90" s="51"/>
      <c r="D90" s="52"/>
      <c r="E90" s="52"/>
      <c r="F90" s="52"/>
      <c r="G90" s="5"/>
      <c r="H90" s="5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0"/>
      <c r="B91" s="50"/>
      <c r="C91" s="51"/>
      <c r="D91" s="52"/>
      <c r="E91" s="52"/>
      <c r="F91" s="52"/>
      <c r="G91" s="5"/>
      <c r="H91" s="5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0"/>
      <c r="B92" s="50"/>
      <c r="C92" s="51"/>
      <c r="D92" s="52"/>
      <c r="E92" s="52"/>
      <c r="F92" s="52"/>
      <c r="G92" s="5"/>
      <c r="H92" s="5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0"/>
      <c r="B93" s="50"/>
      <c r="C93" s="51"/>
      <c r="D93" s="52"/>
      <c r="E93" s="52"/>
      <c r="F93" s="52"/>
      <c r="G93" s="5"/>
      <c r="H93" s="5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0"/>
      <c r="B94" s="50"/>
      <c r="C94" s="51"/>
      <c r="D94" s="52"/>
      <c r="E94" s="52"/>
      <c r="F94" s="52"/>
      <c r="G94" s="5"/>
      <c r="H94" s="5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0"/>
      <c r="B95" s="50"/>
      <c r="C95" s="51"/>
      <c r="D95" s="52"/>
      <c r="E95" s="52"/>
      <c r="F95" s="52"/>
      <c r="G95" s="5"/>
      <c r="H95" s="5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0"/>
      <c r="B96" s="50"/>
      <c r="C96" s="51"/>
      <c r="D96" s="52"/>
      <c r="E96" s="52"/>
      <c r="F96" s="52"/>
      <c r="G96" s="5"/>
      <c r="H96" s="5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0"/>
      <c r="B97" s="50"/>
      <c r="C97" s="51"/>
      <c r="D97" s="52"/>
      <c r="E97" s="52"/>
      <c r="F97" s="52"/>
      <c r="G97" s="5"/>
      <c r="H97" s="5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0"/>
      <c r="B98" s="50"/>
      <c r="C98" s="51"/>
      <c r="D98" s="52"/>
      <c r="E98" s="52"/>
      <c r="F98" s="52"/>
      <c r="G98" s="5"/>
      <c r="H98" s="5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0"/>
      <c r="B99" s="50"/>
      <c r="C99" s="51"/>
      <c r="D99" s="52"/>
      <c r="E99" s="52"/>
      <c r="F99" s="52"/>
      <c r="G99" s="5"/>
      <c r="H99" s="5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0"/>
      <c r="B100" s="50"/>
      <c r="C100" s="51"/>
      <c r="D100" s="52"/>
      <c r="E100" s="52"/>
      <c r="F100" s="52"/>
      <c r="G100" s="5"/>
      <c r="H100" s="5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0"/>
      <c r="B101" s="50"/>
      <c r="C101" s="51"/>
      <c r="D101" s="52"/>
      <c r="E101" s="52"/>
      <c r="F101" s="52"/>
      <c r="G101" s="5"/>
      <c r="H101" s="5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0"/>
      <c r="B102" s="50"/>
      <c r="C102" s="51"/>
      <c r="D102" s="52"/>
      <c r="E102" s="52"/>
      <c r="F102" s="52"/>
      <c r="G102" s="5"/>
      <c r="H102" s="5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0"/>
      <c r="B103" s="50"/>
      <c r="C103" s="51"/>
      <c r="D103" s="52"/>
      <c r="E103" s="52"/>
      <c r="F103" s="52"/>
      <c r="G103" s="5"/>
      <c r="H103" s="5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0"/>
      <c r="B104" s="50"/>
      <c r="C104" s="51"/>
      <c r="D104" s="52"/>
      <c r="E104" s="52"/>
      <c r="F104" s="52"/>
      <c r="G104" s="5"/>
      <c r="H104" s="5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0"/>
      <c r="B105" s="50"/>
      <c r="C105" s="51"/>
      <c r="D105" s="52"/>
      <c r="E105" s="52"/>
      <c r="F105" s="52"/>
      <c r="G105" s="5"/>
      <c r="H105" s="5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0"/>
      <c r="B106" s="50"/>
      <c r="C106" s="51"/>
      <c r="D106" s="52"/>
      <c r="E106" s="52"/>
      <c r="F106" s="52"/>
      <c r="G106" s="5"/>
      <c r="H106" s="5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0"/>
      <c r="B107" s="50"/>
      <c r="C107" s="51"/>
      <c r="D107" s="52"/>
      <c r="E107" s="52"/>
      <c r="F107" s="52"/>
      <c r="G107" s="5"/>
      <c r="H107" s="5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0"/>
      <c r="B108" s="50"/>
      <c r="C108" s="51"/>
      <c r="D108" s="52"/>
      <c r="E108" s="52"/>
      <c r="F108" s="52"/>
      <c r="G108" s="5"/>
      <c r="H108" s="5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0"/>
      <c r="B109" s="50"/>
      <c r="C109" s="51"/>
      <c r="D109" s="52"/>
      <c r="E109" s="52"/>
      <c r="F109" s="52"/>
      <c r="G109" s="5"/>
      <c r="H109" s="5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0"/>
      <c r="B110" s="50"/>
      <c r="C110" s="51"/>
      <c r="D110" s="52"/>
      <c r="E110" s="52"/>
      <c r="F110" s="52"/>
      <c r="G110" s="5"/>
      <c r="H110" s="5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0"/>
      <c r="B111" s="50"/>
      <c r="C111" s="51"/>
      <c r="D111" s="52"/>
      <c r="E111" s="52"/>
      <c r="F111" s="52"/>
      <c r="G111" s="5"/>
      <c r="H111" s="5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0"/>
      <c r="B112" s="50"/>
      <c r="C112" s="51"/>
      <c r="D112" s="52"/>
      <c r="E112" s="52"/>
      <c r="F112" s="52"/>
      <c r="G112" s="5"/>
      <c r="H112" s="5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0"/>
      <c r="B113" s="50"/>
      <c r="C113" s="51"/>
      <c r="D113" s="52"/>
      <c r="E113" s="52"/>
      <c r="F113" s="52"/>
      <c r="G113" s="5"/>
      <c r="H113" s="5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0"/>
      <c r="B114" s="50"/>
      <c r="C114" s="51"/>
      <c r="D114" s="52"/>
      <c r="E114" s="52"/>
      <c r="F114" s="52"/>
      <c r="G114" s="5"/>
      <c r="H114" s="5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0"/>
      <c r="B115" s="50"/>
      <c r="C115" s="51"/>
      <c r="D115" s="52"/>
      <c r="E115" s="52"/>
      <c r="F115" s="52"/>
      <c r="G115" s="5"/>
      <c r="H115" s="5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0"/>
      <c r="B116" s="50"/>
      <c r="C116" s="51"/>
      <c r="D116" s="52"/>
      <c r="E116" s="52"/>
      <c r="F116" s="52"/>
      <c r="G116" s="5"/>
      <c r="H116" s="5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0"/>
      <c r="B117" s="50"/>
      <c r="C117" s="51"/>
      <c r="D117" s="52"/>
      <c r="E117" s="52"/>
      <c r="F117" s="52"/>
      <c r="G117" s="5"/>
      <c r="H117" s="5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0"/>
      <c r="B118" s="50"/>
      <c r="C118" s="51"/>
      <c r="D118" s="52"/>
      <c r="E118" s="52"/>
      <c r="F118" s="52"/>
      <c r="G118" s="5"/>
      <c r="H118" s="5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0"/>
      <c r="B119" s="50"/>
      <c r="C119" s="51"/>
      <c r="D119" s="52"/>
      <c r="E119" s="52"/>
      <c r="F119" s="52"/>
      <c r="G119" s="5"/>
      <c r="H119" s="5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0"/>
      <c r="B120" s="50"/>
      <c r="C120" s="51"/>
      <c r="D120" s="52"/>
      <c r="E120" s="52"/>
      <c r="F120" s="52"/>
      <c r="G120" s="5"/>
      <c r="H120" s="5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0"/>
      <c r="B121" s="50"/>
      <c r="C121" s="51"/>
      <c r="D121" s="52"/>
      <c r="E121" s="52"/>
      <c r="F121" s="52"/>
      <c r="G121" s="5"/>
      <c r="H121" s="5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0"/>
      <c r="B122" s="50"/>
      <c r="C122" s="51"/>
      <c r="D122" s="52"/>
      <c r="E122" s="52"/>
      <c r="F122" s="52"/>
      <c r="G122" s="5"/>
      <c r="H122" s="5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0"/>
      <c r="B123" s="50"/>
      <c r="C123" s="51"/>
      <c r="D123" s="52"/>
      <c r="E123" s="52"/>
      <c r="F123" s="52"/>
      <c r="G123" s="5"/>
      <c r="H123" s="5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0"/>
      <c r="B124" s="50"/>
      <c r="C124" s="51"/>
      <c r="D124" s="52"/>
      <c r="E124" s="52"/>
      <c r="F124" s="52"/>
      <c r="G124" s="5"/>
      <c r="H124" s="5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0"/>
      <c r="B125" s="50"/>
      <c r="C125" s="51"/>
      <c r="D125" s="52"/>
      <c r="E125" s="52"/>
      <c r="F125" s="52"/>
      <c r="G125" s="5"/>
      <c r="H125" s="5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0"/>
      <c r="B126" s="50"/>
      <c r="C126" s="51"/>
      <c r="D126" s="52"/>
      <c r="E126" s="52"/>
      <c r="F126" s="52"/>
      <c r="G126" s="5"/>
      <c r="H126" s="5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0"/>
      <c r="B127" s="50"/>
      <c r="C127" s="51"/>
      <c r="D127" s="52"/>
      <c r="E127" s="52"/>
      <c r="F127" s="52"/>
      <c r="G127" s="5"/>
      <c r="H127" s="5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0"/>
      <c r="B128" s="50"/>
      <c r="C128" s="51"/>
      <c r="D128" s="52"/>
      <c r="E128" s="52"/>
      <c r="F128" s="52"/>
      <c r="G128" s="5"/>
      <c r="H128" s="5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0"/>
      <c r="B129" s="50"/>
      <c r="C129" s="51"/>
      <c r="D129" s="52"/>
      <c r="E129" s="52"/>
      <c r="F129" s="52"/>
      <c r="G129" s="5"/>
      <c r="H129" s="5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0"/>
      <c r="B130" s="50"/>
      <c r="C130" s="51"/>
      <c r="D130" s="52"/>
      <c r="E130" s="52"/>
      <c r="F130" s="52"/>
      <c r="G130" s="5"/>
      <c r="H130" s="5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0"/>
      <c r="B131" s="50"/>
      <c r="C131" s="51"/>
      <c r="D131" s="52"/>
      <c r="E131" s="52"/>
      <c r="F131" s="52"/>
      <c r="G131" s="5"/>
      <c r="H131" s="5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0"/>
      <c r="B132" s="50"/>
      <c r="C132" s="51"/>
      <c r="D132" s="52"/>
      <c r="E132" s="52"/>
      <c r="F132" s="52"/>
      <c r="G132" s="5"/>
      <c r="H132" s="5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0"/>
      <c r="B133" s="50"/>
      <c r="C133" s="51"/>
      <c r="D133" s="52"/>
      <c r="E133" s="52"/>
      <c r="F133" s="52"/>
      <c r="G133" s="5"/>
      <c r="H133" s="5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0"/>
      <c r="B134" s="50"/>
      <c r="C134" s="51"/>
      <c r="D134" s="52"/>
      <c r="E134" s="52"/>
      <c r="F134" s="52"/>
      <c r="G134" s="5"/>
      <c r="H134" s="5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0"/>
      <c r="B135" s="50"/>
      <c r="C135" s="51"/>
      <c r="D135" s="52"/>
      <c r="E135" s="52"/>
      <c r="F135" s="52"/>
      <c r="G135" s="5"/>
      <c r="H135" s="5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0"/>
      <c r="B136" s="50"/>
      <c r="C136" s="51"/>
      <c r="D136" s="52"/>
      <c r="E136" s="52"/>
      <c r="F136" s="52"/>
      <c r="G136" s="5"/>
      <c r="H136" s="5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0"/>
      <c r="B137" s="50"/>
      <c r="C137" s="51"/>
      <c r="D137" s="52"/>
      <c r="E137" s="52"/>
      <c r="F137" s="52"/>
      <c r="G137" s="5"/>
      <c r="H137" s="5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0"/>
      <c r="B138" s="50"/>
      <c r="C138" s="51"/>
      <c r="D138" s="52"/>
      <c r="E138" s="52"/>
      <c r="F138" s="52"/>
      <c r="G138" s="5"/>
      <c r="H138" s="5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0"/>
      <c r="B139" s="50"/>
      <c r="C139" s="51"/>
      <c r="D139" s="52"/>
      <c r="E139" s="52"/>
      <c r="F139" s="52"/>
      <c r="G139" s="5"/>
      <c r="H139" s="5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0"/>
      <c r="B140" s="50"/>
      <c r="C140" s="51"/>
      <c r="D140" s="52"/>
      <c r="E140" s="52"/>
      <c r="F140" s="52"/>
      <c r="G140" s="5"/>
      <c r="H140" s="53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0"/>
      <c r="B141" s="50"/>
      <c r="C141" s="51"/>
      <c r="D141" s="52"/>
      <c r="E141" s="52"/>
      <c r="F141" s="52"/>
      <c r="G141" s="5"/>
      <c r="H141" s="53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0"/>
      <c r="B142" s="50"/>
      <c r="C142" s="51"/>
      <c r="D142" s="52"/>
      <c r="E142" s="52"/>
      <c r="F142" s="52"/>
      <c r="G142" s="5"/>
      <c r="H142" s="5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0"/>
      <c r="B143" s="50"/>
      <c r="C143" s="51"/>
      <c r="D143" s="52"/>
      <c r="E143" s="52"/>
      <c r="F143" s="52"/>
      <c r="G143" s="5"/>
      <c r="H143" s="53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0"/>
      <c r="B144" s="50"/>
      <c r="C144" s="51"/>
      <c r="D144" s="52"/>
      <c r="E144" s="52"/>
      <c r="F144" s="52"/>
      <c r="G144" s="5"/>
      <c r="H144" s="53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0"/>
      <c r="B145" s="50"/>
      <c r="C145" s="51"/>
      <c r="D145" s="52"/>
      <c r="E145" s="52"/>
      <c r="F145" s="52"/>
      <c r="G145" s="5"/>
      <c r="H145" s="53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0"/>
      <c r="B146" s="50"/>
      <c r="C146" s="51"/>
      <c r="D146" s="52"/>
      <c r="E146" s="52"/>
      <c r="F146" s="52"/>
      <c r="G146" s="5"/>
      <c r="H146" s="53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0"/>
      <c r="B147" s="50"/>
      <c r="C147" s="51"/>
      <c r="D147" s="52"/>
      <c r="E147" s="52"/>
      <c r="F147" s="52"/>
      <c r="G147" s="5"/>
      <c r="H147" s="53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0"/>
      <c r="B148" s="50"/>
      <c r="C148" s="51"/>
      <c r="D148" s="52"/>
      <c r="E148" s="52"/>
      <c r="F148" s="52"/>
      <c r="G148" s="5"/>
      <c r="H148" s="53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0"/>
      <c r="B149" s="50"/>
      <c r="C149" s="51"/>
      <c r="D149" s="52"/>
      <c r="E149" s="52"/>
      <c r="F149" s="52"/>
      <c r="G149" s="5"/>
      <c r="H149" s="53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0"/>
      <c r="B150" s="50"/>
      <c r="C150" s="51"/>
      <c r="D150" s="52"/>
      <c r="E150" s="52"/>
      <c r="F150" s="52"/>
      <c r="G150" s="5"/>
      <c r="H150" s="53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0"/>
      <c r="B151" s="50"/>
      <c r="C151" s="51"/>
      <c r="D151" s="52"/>
      <c r="E151" s="52"/>
      <c r="F151" s="52"/>
      <c r="G151" s="5"/>
      <c r="H151" s="53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0"/>
      <c r="B152" s="50"/>
      <c r="C152" s="51"/>
      <c r="D152" s="52"/>
      <c r="E152" s="52"/>
      <c r="F152" s="52"/>
      <c r="G152" s="5"/>
      <c r="H152" s="5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0"/>
      <c r="B153" s="50"/>
      <c r="C153" s="51"/>
      <c r="D153" s="52"/>
      <c r="E153" s="52"/>
      <c r="F153" s="52"/>
      <c r="G153" s="5"/>
      <c r="H153" s="5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0"/>
      <c r="B154" s="50"/>
      <c r="C154" s="51"/>
      <c r="D154" s="52"/>
      <c r="E154" s="52"/>
      <c r="F154" s="52"/>
      <c r="G154" s="5"/>
      <c r="H154" s="5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0"/>
      <c r="B155" s="50"/>
      <c r="C155" s="51"/>
      <c r="D155" s="52"/>
      <c r="E155" s="52"/>
      <c r="F155" s="52"/>
      <c r="G155" s="5"/>
      <c r="H155" s="5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0"/>
      <c r="B156" s="50"/>
      <c r="C156" s="51"/>
      <c r="D156" s="52"/>
      <c r="E156" s="52"/>
      <c r="F156" s="52"/>
      <c r="G156" s="5"/>
      <c r="H156" s="5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0"/>
      <c r="B157" s="50"/>
      <c r="C157" s="51"/>
      <c r="D157" s="52"/>
      <c r="E157" s="52"/>
      <c r="F157" s="52"/>
      <c r="G157" s="5"/>
      <c r="H157" s="5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0"/>
      <c r="B158" s="50"/>
      <c r="C158" s="51"/>
      <c r="D158" s="52"/>
      <c r="E158" s="52"/>
      <c r="F158" s="52"/>
      <c r="G158" s="5"/>
      <c r="H158" s="5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0"/>
      <c r="B159" s="50"/>
      <c r="C159" s="51"/>
      <c r="D159" s="52"/>
      <c r="E159" s="52"/>
      <c r="F159" s="52"/>
      <c r="G159" s="5"/>
      <c r="H159" s="5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0"/>
      <c r="B160" s="50"/>
      <c r="C160" s="51"/>
      <c r="D160" s="52"/>
      <c r="E160" s="52"/>
      <c r="F160" s="52"/>
      <c r="G160" s="5"/>
      <c r="H160" s="5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0"/>
      <c r="B161" s="50"/>
      <c r="C161" s="51"/>
      <c r="D161" s="52"/>
      <c r="E161" s="52"/>
      <c r="F161" s="52"/>
      <c r="G161" s="5"/>
      <c r="H161" s="5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0"/>
      <c r="B162" s="50"/>
      <c r="C162" s="51"/>
      <c r="D162" s="52"/>
      <c r="E162" s="52"/>
      <c r="F162" s="52"/>
      <c r="G162" s="5"/>
      <c r="H162" s="5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0"/>
      <c r="B163" s="50"/>
      <c r="C163" s="51"/>
      <c r="D163" s="52"/>
      <c r="E163" s="52"/>
      <c r="F163" s="52"/>
      <c r="G163" s="5"/>
      <c r="H163" s="5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0"/>
      <c r="B164" s="50"/>
      <c r="C164" s="51"/>
      <c r="D164" s="52"/>
      <c r="E164" s="52"/>
      <c r="F164" s="52"/>
      <c r="G164" s="5"/>
      <c r="H164" s="5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0"/>
      <c r="B165" s="50"/>
      <c r="C165" s="51"/>
      <c r="D165" s="52"/>
      <c r="E165" s="52"/>
      <c r="F165" s="52"/>
      <c r="G165" s="5"/>
      <c r="H165" s="5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0"/>
      <c r="B166" s="50"/>
      <c r="C166" s="51"/>
      <c r="D166" s="52"/>
      <c r="E166" s="52"/>
      <c r="F166" s="52"/>
      <c r="G166" s="5"/>
      <c r="H166" s="5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0"/>
      <c r="B167" s="50"/>
      <c r="C167" s="51"/>
      <c r="D167" s="52"/>
      <c r="E167" s="52"/>
      <c r="F167" s="52"/>
      <c r="G167" s="5"/>
      <c r="H167" s="53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0"/>
      <c r="B168" s="50"/>
      <c r="C168" s="51"/>
      <c r="D168" s="52"/>
      <c r="E168" s="52"/>
      <c r="F168" s="52"/>
      <c r="G168" s="5"/>
      <c r="H168" s="53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0"/>
      <c r="B169" s="50"/>
      <c r="C169" s="51"/>
      <c r="D169" s="52"/>
      <c r="E169" s="52"/>
      <c r="F169" s="52"/>
      <c r="G169" s="5"/>
      <c r="H169" s="53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0"/>
      <c r="B170" s="50"/>
      <c r="C170" s="51"/>
      <c r="D170" s="52"/>
      <c r="E170" s="52"/>
      <c r="F170" s="52"/>
      <c r="G170" s="5"/>
      <c r="H170" s="53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0"/>
      <c r="B171" s="50"/>
      <c r="C171" s="51"/>
      <c r="D171" s="52"/>
      <c r="E171" s="52"/>
      <c r="F171" s="52"/>
      <c r="G171" s="5"/>
      <c r="H171" s="53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0"/>
      <c r="B172" s="50"/>
      <c r="C172" s="51"/>
      <c r="D172" s="52"/>
      <c r="E172" s="52"/>
      <c r="F172" s="52"/>
      <c r="G172" s="5"/>
      <c r="H172" s="53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0"/>
      <c r="B173" s="50"/>
      <c r="C173" s="51"/>
      <c r="D173" s="52"/>
      <c r="E173" s="52"/>
      <c r="F173" s="52"/>
      <c r="G173" s="5"/>
      <c r="H173" s="53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0"/>
      <c r="B174" s="50"/>
      <c r="C174" s="51"/>
      <c r="D174" s="52"/>
      <c r="E174" s="52"/>
      <c r="F174" s="52"/>
      <c r="G174" s="5"/>
      <c r="H174" s="53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0"/>
      <c r="B175" s="50"/>
      <c r="C175" s="51"/>
      <c r="D175" s="52"/>
      <c r="E175" s="52"/>
      <c r="F175" s="52"/>
      <c r="G175" s="5"/>
      <c r="H175" s="5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0"/>
      <c r="B176" s="50"/>
      <c r="C176" s="51"/>
      <c r="D176" s="52"/>
      <c r="E176" s="52"/>
      <c r="F176" s="52"/>
      <c r="G176" s="5"/>
      <c r="H176" s="53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0"/>
      <c r="B177" s="50"/>
      <c r="C177" s="51"/>
      <c r="D177" s="52"/>
      <c r="E177" s="52"/>
      <c r="F177" s="52"/>
      <c r="G177" s="5"/>
      <c r="H177" s="53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0"/>
      <c r="B178" s="50"/>
      <c r="C178" s="51"/>
      <c r="D178" s="52"/>
      <c r="E178" s="52"/>
      <c r="F178" s="52"/>
      <c r="G178" s="5"/>
      <c r="H178" s="53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0"/>
      <c r="B179" s="50"/>
      <c r="C179" s="51"/>
      <c r="D179" s="52"/>
      <c r="E179" s="52"/>
      <c r="F179" s="52"/>
      <c r="G179" s="5"/>
      <c r="H179" s="5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0"/>
      <c r="B180" s="50"/>
      <c r="C180" s="51"/>
      <c r="D180" s="52"/>
      <c r="E180" s="52"/>
      <c r="F180" s="52"/>
      <c r="G180" s="5"/>
      <c r="H180" s="53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0"/>
      <c r="B181" s="50"/>
      <c r="C181" s="51"/>
      <c r="D181" s="52"/>
      <c r="E181" s="52"/>
      <c r="F181" s="52"/>
      <c r="G181" s="5"/>
      <c r="H181" s="53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0"/>
      <c r="B182" s="50"/>
      <c r="C182" s="51"/>
      <c r="D182" s="52"/>
      <c r="E182" s="52"/>
      <c r="F182" s="52"/>
      <c r="G182" s="5"/>
      <c r="H182" s="53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C183" s="54"/>
      <c r="D183" s="55"/>
      <c r="E183" s="55"/>
      <c r="F183" s="55"/>
      <c r="H183" s="56"/>
    </row>
    <row r="184" ht="15.75" customHeight="1">
      <c r="C184" s="54"/>
      <c r="D184" s="55"/>
      <c r="E184" s="55"/>
      <c r="F184" s="55"/>
      <c r="H184" s="56"/>
    </row>
    <row r="185" ht="15.75" customHeight="1">
      <c r="C185" s="54"/>
      <c r="D185" s="55"/>
      <c r="E185" s="55"/>
      <c r="F185" s="55"/>
      <c r="H185" s="56"/>
    </row>
    <row r="186" ht="15.75" customHeight="1">
      <c r="C186" s="54"/>
      <c r="D186" s="55"/>
      <c r="E186" s="55"/>
      <c r="F186" s="55"/>
      <c r="H186" s="56"/>
    </row>
    <row r="187" ht="15.75" customHeight="1">
      <c r="C187" s="54"/>
      <c r="D187" s="55"/>
      <c r="E187" s="55"/>
      <c r="F187" s="55"/>
      <c r="H187" s="56"/>
    </row>
    <row r="188" ht="15.75" customHeight="1">
      <c r="C188" s="54"/>
      <c r="D188" s="55"/>
      <c r="E188" s="55"/>
      <c r="F188" s="55"/>
      <c r="H188" s="56"/>
    </row>
    <row r="189" ht="15.75" customHeight="1">
      <c r="C189" s="54"/>
      <c r="D189" s="55"/>
      <c r="E189" s="55"/>
      <c r="F189" s="55"/>
      <c r="H189" s="56"/>
    </row>
    <row r="190" ht="15.75" customHeight="1">
      <c r="C190" s="54"/>
      <c r="D190" s="55"/>
      <c r="E190" s="55"/>
      <c r="F190" s="55"/>
      <c r="H190" s="56"/>
    </row>
    <row r="191" ht="15.75" customHeight="1">
      <c r="C191" s="54"/>
      <c r="D191" s="55"/>
      <c r="E191" s="55"/>
      <c r="F191" s="55"/>
      <c r="H191" s="56"/>
    </row>
    <row r="192" ht="15.75" customHeight="1">
      <c r="C192" s="54"/>
      <c r="D192" s="55"/>
      <c r="E192" s="55"/>
      <c r="F192" s="55"/>
      <c r="H192" s="56"/>
    </row>
    <row r="193" ht="15.75" customHeight="1">
      <c r="C193" s="54"/>
      <c r="D193" s="55"/>
      <c r="E193" s="55"/>
      <c r="F193" s="55"/>
      <c r="H193" s="56"/>
    </row>
    <row r="194" ht="15.75" customHeight="1">
      <c r="C194" s="54"/>
      <c r="D194" s="55"/>
      <c r="E194" s="55"/>
      <c r="F194" s="55"/>
      <c r="H194" s="56"/>
    </row>
    <row r="195" ht="15.75" customHeight="1">
      <c r="C195" s="54"/>
      <c r="D195" s="55"/>
      <c r="E195" s="55"/>
      <c r="F195" s="55"/>
      <c r="H195" s="56"/>
    </row>
    <row r="196" ht="15.75" customHeight="1">
      <c r="C196" s="54"/>
      <c r="D196" s="55"/>
      <c r="E196" s="55"/>
      <c r="F196" s="55"/>
      <c r="H196" s="56"/>
    </row>
    <row r="197" ht="15.75" customHeight="1">
      <c r="C197" s="54"/>
      <c r="D197" s="55"/>
      <c r="E197" s="55"/>
      <c r="F197" s="55"/>
      <c r="H197" s="56"/>
    </row>
    <row r="198" ht="15.75" customHeight="1">
      <c r="C198" s="54"/>
      <c r="D198" s="55"/>
      <c r="E198" s="55"/>
      <c r="F198" s="55"/>
      <c r="H198" s="56"/>
    </row>
    <row r="199" ht="15.75" customHeight="1">
      <c r="C199" s="54"/>
      <c r="D199" s="55"/>
      <c r="E199" s="55"/>
      <c r="F199" s="55"/>
      <c r="H199" s="56"/>
    </row>
    <row r="200" ht="15.75" customHeight="1">
      <c r="C200" s="54"/>
      <c r="D200" s="55"/>
      <c r="E200" s="55"/>
      <c r="F200" s="55"/>
      <c r="H200" s="56"/>
    </row>
    <row r="201" ht="15.75" customHeight="1">
      <c r="C201" s="54"/>
      <c r="D201" s="55"/>
      <c r="E201" s="55"/>
      <c r="F201" s="55"/>
      <c r="H201" s="56"/>
    </row>
    <row r="202" ht="15.75" customHeight="1">
      <c r="C202" s="54"/>
      <c r="D202" s="55"/>
      <c r="E202" s="55"/>
      <c r="F202" s="55"/>
      <c r="H202" s="56"/>
    </row>
    <row r="203" ht="15.75" customHeight="1">
      <c r="C203" s="54"/>
      <c r="D203" s="55"/>
      <c r="E203" s="55"/>
      <c r="F203" s="55"/>
      <c r="H203" s="56"/>
    </row>
    <row r="204" ht="15.75" customHeight="1">
      <c r="C204" s="54"/>
      <c r="D204" s="55"/>
      <c r="E204" s="55"/>
      <c r="F204" s="55"/>
      <c r="H204" s="56"/>
    </row>
    <row r="205" ht="15.75" customHeight="1">
      <c r="C205" s="54"/>
      <c r="D205" s="55"/>
      <c r="E205" s="55"/>
      <c r="F205" s="55"/>
      <c r="H205" s="56"/>
    </row>
    <row r="206" ht="15.75" customHeight="1">
      <c r="C206" s="54"/>
      <c r="D206" s="55"/>
      <c r="E206" s="55"/>
      <c r="F206" s="55"/>
      <c r="H206" s="56"/>
    </row>
    <row r="207" ht="15.75" customHeight="1">
      <c r="C207" s="54"/>
      <c r="D207" s="55"/>
      <c r="E207" s="55"/>
      <c r="F207" s="55"/>
      <c r="H207" s="56"/>
    </row>
    <row r="208" ht="15.75" customHeight="1">
      <c r="C208" s="54"/>
      <c r="D208" s="55"/>
      <c r="E208" s="55"/>
      <c r="F208" s="55"/>
      <c r="H208" s="56"/>
    </row>
    <row r="209" ht="15.75" customHeight="1">
      <c r="C209" s="54"/>
      <c r="D209" s="55"/>
      <c r="E209" s="55"/>
      <c r="F209" s="55"/>
      <c r="H209" s="56"/>
    </row>
    <row r="210" ht="15.75" customHeight="1">
      <c r="C210" s="54"/>
      <c r="D210" s="55"/>
      <c r="E210" s="55"/>
      <c r="F210" s="55"/>
      <c r="H210" s="56"/>
    </row>
    <row r="211" ht="15.75" customHeight="1">
      <c r="C211" s="54"/>
      <c r="D211" s="55"/>
      <c r="E211" s="55"/>
      <c r="F211" s="55"/>
      <c r="H211" s="56"/>
    </row>
    <row r="212" ht="15.75" customHeight="1">
      <c r="C212" s="54"/>
      <c r="D212" s="55"/>
      <c r="E212" s="55"/>
      <c r="F212" s="55"/>
      <c r="H212" s="56"/>
    </row>
    <row r="213" ht="15.75" customHeight="1">
      <c r="C213" s="54"/>
      <c r="D213" s="55"/>
      <c r="E213" s="55"/>
      <c r="F213" s="55"/>
      <c r="H213" s="56"/>
    </row>
    <row r="214" ht="15.75" customHeight="1">
      <c r="C214" s="54"/>
      <c r="D214" s="55"/>
      <c r="E214" s="55"/>
      <c r="F214" s="55"/>
      <c r="H214" s="56"/>
    </row>
    <row r="215" ht="15.75" customHeight="1">
      <c r="C215" s="54"/>
      <c r="D215" s="55"/>
      <c r="E215" s="55"/>
      <c r="F215" s="55"/>
      <c r="H215" s="56"/>
    </row>
    <row r="216" ht="15.75" customHeight="1">
      <c r="C216" s="54"/>
      <c r="D216" s="55"/>
      <c r="E216" s="55"/>
      <c r="F216" s="55"/>
      <c r="H216" s="56"/>
    </row>
    <row r="217" ht="15.75" customHeight="1">
      <c r="C217" s="54"/>
      <c r="D217" s="55"/>
      <c r="E217" s="55"/>
      <c r="F217" s="55"/>
      <c r="H217" s="56"/>
    </row>
    <row r="218" ht="15.75" customHeight="1">
      <c r="C218" s="54"/>
      <c r="D218" s="55"/>
      <c r="E218" s="55"/>
      <c r="F218" s="55"/>
      <c r="H218" s="56"/>
    </row>
    <row r="219" ht="15.75" customHeight="1">
      <c r="C219" s="54"/>
      <c r="D219" s="55"/>
      <c r="E219" s="55"/>
      <c r="F219" s="55"/>
      <c r="H219" s="56"/>
    </row>
    <row r="220" ht="15.75" customHeight="1">
      <c r="C220" s="54"/>
      <c r="D220" s="55"/>
      <c r="E220" s="55"/>
      <c r="F220" s="55"/>
      <c r="H220" s="56"/>
    </row>
    <row r="221" ht="15.75" customHeight="1">
      <c r="C221" s="54"/>
      <c r="D221" s="55"/>
      <c r="E221" s="55"/>
      <c r="F221" s="55"/>
      <c r="H221" s="56"/>
    </row>
    <row r="222" ht="15.75" customHeight="1">
      <c r="C222" s="54"/>
      <c r="D222" s="55"/>
      <c r="E222" s="55"/>
      <c r="F222" s="55"/>
      <c r="H222" s="56"/>
    </row>
    <row r="223" ht="15.75" customHeight="1">
      <c r="C223" s="54"/>
      <c r="D223" s="55"/>
      <c r="E223" s="55"/>
      <c r="F223" s="55"/>
      <c r="H223" s="56"/>
    </row>
    <row r="224" ht="15.75" customHeight="1">
      <c r="C224" s="54"/>
      <c r="D224" s="55"/>
      <c r="E224" s="55"/>
      <c r="F224" s="55"/>
      <c r="H224" s="56"/>
    </row>
    <row r="225" ht="15.75" customHeight="1">
      <c r="C225" s="54"/>
      <c r="D225" s="55"/>
      <c r="E225" s="55"/>
      <c r="F225" s="55"/>
      <c r="H225" s="56"/>
    </row>
    <row r="226" ht="15.75" customHeight="1">
      <c r="C226" s="54"/>
      <c r="D226" s="55"/>
      <c r="E226" s="55"/>
      <c r="F226" s="55"/>
      <c r="H226" s="56"/>
    </row>
    <row r="227" ht="15.75" customHeight="1">
      <c r="C227" s="54"/>
      <c r="D227" s="55"/>
      <c r="E227" s="55"/>
      <c r="F227" s="55"/>
      <c r="H227" s="56"/>
    </row>
    <row r="228" ht="15.75" customHeight="1">
      <c r="C228" s="54"/>
      <c r="D228" s="55"/>
      <c r="E228" s="55"/>
      <c r="F228" s="55"/>
      <c r="H228" s="56"/>
    </row>
    <row r="229" ht="15.75" customHeight="1">
      <c r="C229" s="54"/>
      <c r="D229" s="55"/>
      <c r="E229" s="55"/>
      <c r="F229" s="55"/>
      <c r="H229" s="56"/>
    </row>
    <row r="230" ht="15.75" customHeight="1">
      <c r="C230" s="54"/>
      <c r="D230" s="55"/>
      <c r="E230" s="55"/>
      <c r="F230" s="55"/>
      <c r="H230" s="56"/>
    </row>
    <row r="231" ht="15.75" customHeight="1">
      <c r="C231" s="54"/>
      <c r="D231" s="55"/>
      <c r="E231" s="55"/>
      <c r="F231" s="55"/>
      <c r="H231" s="56"/>
    </row>
    <row r="232" ht="15.75" customHeight="1">
      <c r="C232" s="54"/>
      <c r="D232" s="55"/>
      <c r="E232" s="55"/>
      <c r="F232" s="55"/>
      <c r="H232" s="56"/>
    </row>
    <row r="233" ht="15.75" customHeight="1">
      <c r="C233" s="54"/>
      <c r="D233" s="55"/>
      <c r="E233" s="55"/>
      <c r="F233" s="55"/>
      <c r="H233" s="56"/>
    </row>
    <row r="234" ht="15.75" customHeight="1">
      <c r="C234" s="54"/>
      <c r="D234" s="55"/>
      <c r="E234" s="55"/>
      <c r="F234" s="55"/>
      <c r="H234" s="56"/>
    </row>
    <row r="235" ht="15.75" customHeight="1">
      <c r="C235" s="54"/>
      <c r="D235" s="55"/>
      <c r="E235" s="55"/>
      <c r="F235" s="55"/>
      <c r="H235" s="56"/>
    </row>
    <row r="236" ht="15.75" customHeight="1">
      <c r="C236" s="54"/>
      <c r="D236" s="55"/>
      <c r="E236" s="55"/>
      <c r="F236" s="55"/>
      <c r="H236" s="56"/>
    </row>
    <row r="237" ht="15.75" customHeight="1">
      <c r="C237" s="54"/>
      <c r="D237" s="55"/>
      <c r="E237" s="55"/>
      <c r="F237" s="55"/>
      <c r="H237" s="56"/>
    </row>
    <row r="238" ht="15.75" customHeight="1">
      <c r="C238" s="54"/>
      <c r="D238" s="55"/>
      <c r="E238" s="55"/>
      <c r="F238" s="55"/>
      <c r="H238" s="56"/>
    </row>
    <row r="239" ht="15.75" customHeight="1">
      <c r="C239" s="54"/>
      <c r="D239" s="55"/>
      <c r="E239" s="55"/>
      <c r="F239" s="55"/>
      <c r="H239" s="56"/>
    </row>
    <row r="240" ht="15.75" customHeight="1">
      <c r="C240" s="54"/>
      <c r="D240" s="55"/>
      <c r="E240" s="55"/>
      <c r="F240" s="55"/>
      <c r="H240" s="56"/>
    </row>
    <row r="241" ht="15.75" customHeight="1">
      <c r="C241" s="54"/>
      <c r="D241" s="55"/>
      <c r="E241" s="55"/>
      <c r="F241" s="55"/>
      <c r="H241" s="56"/>
    </row>
    <row r="242" ht="15.75" customHeight="1">
      <c r="C242" s="54"/>
      <c r="D242" s="55"/>
      <c r="E242" s="55"/>
      <c r="F242" s="55"/>
      <c r="H242" s="56"/>
    </row>
    <row r="243" ht="15.75" customHeight="1">
      <c r="C243" s="54"/>
      <c r="D243" s="55"/>
      <c r="E243" s="55"/>
      <c r="F243" s="55"/>
      <c r="H243" s="56"/>
    </row>
    <row r="244" ht="15.75" customHeight="1">
      <c r="C244" s="54"/>
      <c r="D244" s="55"/>
      <c r="E244" s="55"/>
      <c r="F244" s="55"/>
      <c r="H244" s="56"/>
    </row>
    <row r="245" ht="15.75" customHeight="1">
      <c r="C245" s="54"/>
      <c r="D245" s="55"/>
      <c r="E245" s="55"/>
      <c r="F245" s="55"/>
      <c r="H245" s="56"/>
    </row>
    <row r="246" ht="15.75" customHeight="1">
      <c r="C246" s="54"/>
      <c r="D246" s="55"/>
      <c r="E246" s="55"/>
      <c r="F246" s="55"/>
      <c r="H246" s="56"/>
    </row>
    <row r="247" ht="15.75" customHeight="1">
      <c r="C247" s="54"/>
      <c r="D247" s="55"/>
      <c r="E247" s="55"/>
      <c r="F247" s="55"/>
      <c r="H247" s="56"/>
    </row>
    <row r="248" ht="15.75" customHeight="1">
      <c r="C248" s="54"/>
      <c r="D248" s="55"/>
      <c r="E248" s="55"/>
      <c r="F248" s="55"/>
      <c r="H248" s="56"/>
    </row>
    <row r="249" ht="15.75" customHeight="1">
      <c r="C249" s="54"/>
      <c r="D249" s="55"/>
      <c r="E249" s="55"/>
      <c r="F249" s="55"/>
      <c r="H249" s="56"/>
    </row>
    <row r="250" ht="15.75" customHeight="1">
      <c r="C250" s="54"/>
      <c r="D250" s="55"/>
      <c r="E250" s="55"/>
      <c r="F250" s="55"/>
      <c r="H250" s="56"/>
    </row>
    <row r="251" ht="15.75" customHeight="1">
      <c r="C251" s="54"/>
      <c r="D251" s="55"/>
      <c r="E251" s="55"/>
      <c r="F251" s="55"/>
      <c r="H251" s="56"/>
    </row>
    <row r="252" ht="15.75" customHeight="1">
      <c r="C252" s="54"/>
      <c r="D252" s="55"/>
      <c r="E252" s="55"/>
      <c r="F252" s="55"/>
      <c r="H252" s="56"/>
    </row>
    <row r="253" ht="15.75" customHeight="1">
      <c r="C253" s="54"/>
      <c r="D253" s="55"/>
      <c r="E253" s="55"/>
      <c r="F253" s="55"/>
      <c r="H253" s="56"/>
    </row>
    <row r="254" ht="15.75" customHeight="1">
      <c r="C254" s="54"/>
      <c r="D254" s="55"/>
      <c r="E254" s="55"/>
      <c r="F254" s="55"/>
      <c r="H254" s="56"/>
    </row>
    <row r="255" ht="15.75" customHeight="1">
      <c r="C255" s="54"/>
      <c r="D255" s="55"/>
      <c r="E255" s="55"/>
      <c r="F255" s="55"/>
      <c r="H255" s="56"/>
    </row>
    <row r="256" ht="15.75" customHeight="1">
      <c r="C256" s="54"/>
      <c r="D256" s="55"/>
      <c r="E256" s="55"/>
      <c r="F256" s="55"/>
      <c r="H256" s="56"/>
    </row>
    <row r="257" ht="15.75" customHeight="1">
      <c r="C257" s="54"/>
      <c r="D257" s="55"/>
      <c r="E257" s="55"/>
      <c r="F257" s="55"/>
      <c r="H257" s="56"/>
    </row>
    <row r="258" ht="15.75" customHeight="1">
      <c r="C258" s="54"/>
      <c r="D258" s="55"/>
      <c r="E258" s="55"/>
      <c r="F258" s="55"/>
      <c r="H258" s="56"/>
    </row>
    <row r="259" ht="15.75" customHeight="1">
      <c r="C259" s="54"/>
      <c r="D259" s="55"/>
      <c r="E259" s="55"/>
      <c r="F259" s="55"/>
      <c r="H259" s="56"/>
    </row>
    <row r="260" ht="15.75" customHeight="1">
      <c r="C260" s="54"/>
      <c r="D260" s="55"/>
      <c r="E260" s="55"/>
      <c r="F260" s="55"/>
      <c r="H260" s="56"/>
    </row>
    <row r="261" ht="15.75" customHeight="1">
      <c r="C261" s="54"/>
      <c r="D261" s="55"/>
      <c r="E261" s="55"/>
      <c r="F261" s="55"/>
      <c r="H261" s="56"/>
    </row>
    <row r="262" ht="15.75" customHeight="1">
      <c r="C262" s="54"/>
      <c r="D262" s="55"/>
      <c r="E262" s="55"/>
      <c r="F262" s="55"/>
      <c r="H262" s="56"/>
    </row>
    <row r="263" ht="15.75" customHeight="1">
      <c r="C263" s="54"/>
      <c r="D263" s="55"/>
      <c r="E263" s="55"/>
      <c r="F263" s="55"/>
      <c r="H263" s="56"/>
    </row>
    <row r="264" ht="15.75" customHeight="1">
      <c r="C264" s="54"/>
      <c r="D264" s="55"/>
      <c r="E264" s="55"/>
      <c r="F264" s="55"/>
      <c r="H264" s="56"/>
    </row>
    <row r="265" ht="15.75" customHeight="1">
      <c r="C265" s="54"/>
      <c r="D265" s="55"/>
      <c r="E265" s="55"/>
      <c r="F265" s="55"/>
      <c r="H265" s="56"/>
    </row>
    <row r="266" ht="15.75" customHeight="1">
      <c r="C266" s="54"/>
      <c r="D266" s="55"/>
      <c r="E266" s="55"/>
      <c r="F266" s="55"/>
      <c r="H266" s="56"/>
    </row>
    <row r="267" ht="15.75" customHeight="1">
      <c r="C267" s="54"/>
      <c r="D267" s="55"/>
      <c r="E267" s="55"/>
      <c r="F267" s="55"/>
      <c r="H267" s="56"/>
    </row>
    <row r="268" ht="15.75" customHeight="1">
      <c r="C268" s="54"/>
      <c r="D268" s="55"/>
      <c r="E268" s="55"/>
      <c r="F268" s="55"/>
      <c r="H268" s="56"/>
    </row>
    <row r="269" ht="15.75" customHeight="1">
      <c r="C269" s="54"/>
      <c r="D269" s="55"/>
      <c r="E269" s="55"/>
      <c r="F269" s="55"/>
      <c r="H269" s="56"/>
    </row>
    <row r="270" ht="15.75" customHeight="1">
      <c r="C270" s="54"/>
      <c r="D270" s="55"/>
      <c r="E270" s="55"/>
      <c r="F270" s="55"/>
      <c r="H270" s="56"/>
    </row>
    <row r="271" ht="15.75" customHeight="1">
      <c r="C271" s="54"/>
      <c r="D271" s="55"/>
      <c r="E271" s="55"/>
      <c r="F271" s="55"/>
      <c r="H271" s="56"/>
    </row>
    <row r="272" ht="15.75" customHeight="1">
      <c r="C272" s="54"/>
      <c r="D272" s="55"/>
      <c r="E272" s="55"/>
      <c r="F272" s="55"/>
      <c r="H272" s="56"/>
    </row>
    <row r="273" ht="15.75" customHeight="1">
      <c r="C273" s="54"/>
      <c r="D273" s="55"/>
      <c r="E273" s="55"/>
      <c r="F273" s="55"/>
      <c r="H273" s="56"/>
    </row>
    <row r="274" ht="15.75" customHeight="1">
      <c r="C274" s="54"/>
      <c r="D274" s="55"/>
      <c r="E274" s="55"/>
      <c r="F274" s="55"/>
      <c r="H274" s="56"/>
    </row>
    <row r="275" ht="15.75" customHeight="1">
      <c r="C275" s="54"/>
      <c r="D275" s="55"/>
      <c r="E275" s="55"/>
      <c r="F275" s="55"/>
      <c r="H275" s="56"/>
    </row>
    <row r="276" ht="15.75" customHeight="1">
      <c r="C276" s="54"/>
      <c r="D276" s="55"/>
      <c r="E276" s="55"/>
      <c r="F276" s="55"/>
      <c r="H276" s="56"/>
    </row>
    <row r="277" ht="15.75" customHeight="1">
      <c r="C277" s="54"/>
      <c r="D277" s="55"/>
      <c r="E277" s="55"/>
      <c r="F277" s="55"/>
      <c r="H277" s="56"/>
    </row>
    <row r="278" ht="15.75" customHeight="1">
      <c r="C278" s="54"/>
      <c r="D278" s="55"/>
      <c r="E278" s="55"/>
      <c r="F278" s="55"/>
      <c r="H278" s="56"/>
    </row>
    <row r="279" ht="15.75" customHeight="1">
      <c r="C279" s="54"/>
      <c r="D279" s="55"/>
      <c r="E279" s="55"/>
      <c r="F279" s="55"/>
      <c r="H279" s="56"/>
    </row>
    <row r="280" ht="15.75" customHeight="1">
      <c r="C280" s="54"/>
      <c r="D280" s="55"/>
      <c r="E280" s="55"/>
      <c r="F280" s="55"/>
      <c r="H280" s="56"/>
    </row>
    <row r="281" ht="15.75" customHeight="1">
      <c r="C281" s="54"/>
      <c r="D281" s="55"/>
      <c r="E281" s="55"/>
      <c r="F281" s="55"/>
      <c r="H281" s="56"/>
    </row>
    <row r="282" ht="15.75" customHeight="1">
      <c r="C282" s="54"/>
      <c r="D282" s="55"/>
      <c r="E282" s="55"/>
      <c r="F282" s="55"/>
      <c r="H282" s="56"/>
    </row>
    <row r="283" ht="15.75" customHeight="1">
      <c r="C283" s="54"/>
      <c r="D283" s="55"/>
      <c r="E283" s="55"/>
      <c r="F283" s="55"/>
      <c r="H283" s="56"/>
    </row>
    <row r="284" ht="15.75" customHeight="1">
      <c r="C284" s="54"/>
      <c r="D284" s="55"/>
      <c r="E284" s="55"/>
      <c r="F284" s="55"/>
      <c r="H284" s="56"/>
    </row>
    <row r="285" ht="15.75" customHeight="1">
      <c r="C285" s="54"/>
      <c r="D285" s="55"/>
      <c r="E285" s="55"/>
      <c r="F285" s="55"/>
      <c r="H285" s="56"/>
    </row>
    <row r="286" ht="15.75" customHeight="1">
      <c r="C286" s="54"/>
      <c r="D286" s="55"/>
      <c r="E286" s="55"/>
      <c r="F286" s="55"/>
      <c r="H286" s="56"/>
    </row>
    <row r="287" ht="15.75" customHeight="1">
      <c r="C287" s="54"/>
      <c r="D287" s="55"/>
      <c r="E287" s="55"/>
      <c r="F287" s="55"/>
      <c r="H287" s="56"/>
    </row>
    <row r="288" ht="15.75" customHeight="1">
      <c r="C288" s="54"/>
      <c r="D288" s="55"/>
      <c r="E288" s="55"/>
      <c r="F288" s="55"/>
      <c r="H288" s="56"/>
    </row>
    <row r="289" ht="15.75" customHeight="1">
      <c r="C289" s="54"/>
      <c r="D289" s="55"/>
      <c r="E289" s="55"/>
      <c r="F289" s="55"/>
      <c r="H289" s="56"/>
    </row>
    <row r="290" ht="15.75" customHeight="1">
      <c r="C290" s="54"/>
      <c r="D290" s="55"/>
      <c r="E290" s="55"/>
      <c r="F290" s="55"/>
      <c r="H290" s="56"/>
    </row>
    <row r="291" ht="15.75" customHeight="1">
      <c r="C291" s="54"/>
      <c r="D291" s="55"/>
      <c r="E291" s="55"/>
      <c r="F291" s="55"/>
      <c r="H291" s="56"/>
    </row>
    <row r="292" ht="15.75" customHeight="1">
      <c r="C292" s="54"/>
      <c r="D292" s="55"/>
      <c r="E292" s="55"/>
      <c r="F292" s="55"/>
      <c r="H292" s="56"/>
    </row>
    <row r="293" ht="15.75" customHeight="1">
      <c r="C293" s="54"/>
      <c r="D293" s="55"/>
      <c r="E293" s="55"/>
      <c r="F293" s="55"/>
      <c r="H293" s="56"/>
    </row>
    <row r="294" ht="15.75" customHeight="1">
      <c r="C294" s="54"/>
      <c r="D294" s="55"/>
      <c r="E294" s="55"/>
      <c r="F294" s="55"/>
      <c r="H294" s="56"/>
    </row>
    <row r="295" ht="15.75" customHeight="1">
      <c r="C295" s="54"/>
      <c r="D295" s="55"/>
      <c r="E295" s="55"/>
      <c r="F295" s="55"/>
      <c r="H295" s="56"/>
    </row>
    <row r="296" ht="15.75" customHeight="1">
      <c r="C296" s="54"/>
      <c r="D296" s="55"/>
      <c r="E296" s="55"/>
      <c r="F296" s="55"/>
      <c r="H296" s="56"/>
    </row>
    <row r="297" ht="15.75" customHeight="1">
      <c r="C297" s="54"/>
      <c r="D297" s="55"/>
      <c r="E297" s="55"/>
      <c r="F297" s="55"/>
      <c r="H297" s="56"/>
    </row>
    <row r="298" ht="15.75" customHeight="1">
      <c r="C298" s="54"/>
      <c r="D298" s="55"/>
      <c r="E298" s="55"/>
      <c r="F298" s="55"/>
      <c r="H298" s="56"/>
    </row>
    <row r="299" ht="15.75" customHeight="1">
      <c r="C299" s="54"/>
      <c r="D299" s="55"/>
      <c r="E299" s="55"/>
      <c r="F299" s="55"/>
      <c r="H299" s="56"/>
    </row>
    <row r="300" ht="15.75" customHeight="1">
      <c r="C300" s="54"/>
      <c r="D300" s="55"/>
      <c r="E300" s="55"/>
      <c r="F300" s="55"/>
      <c r="H300" s="56"/>
    </row>
    <row r="301" ht="15.75" customHeight="1">
      <c r="C301" s="54"/>
      <c r="D301" s="55"/>
      <c r="E301" s="55"/>
      <c r="F301" s="55"/>
      <c r="H301" s="56"/>
    </row>
    <row r="302" ht="15.75" customHeight="1">
      <c r="C302" s="54"/>
      <c r="D302" s="55"/>
      <c r="E302" s="55"/>
      <c r="F302" s="55"/>
      <c r="H302" s="56"/>
    </row>
    <row r="303" ht="15.75" customHeight="1">
      <c r="C303" s="54"/>
      <c r="D303" s="55"/>
      <c r="E303" s="55"/>
      <c r="F303" s="55"/>
      <c r="H303" s="56"/>
    </row>
    <row r="304" ht="15.75" customHeight="1">
      <c r="C304" s="54"/>
      <c r="D304" s="55"/>
      <c r="E304" s="55"/>
      <c r="F304" s="55"/>
      <c r="H304" s="56"/>
    </row>
    <row r="305" ht="15.75" customHeight="1">
      <c r="C305" s="54"/>
      <c r="D305" s="55"/>
      <c r="E305" s="55"/>
      <c r="F305" s="55"/>
      <c r="H305" s="56"/>
    </row>
    <row r="306" ht="15.75" customHeight="1">
      <c r="C306" s="54"/>
      <c r="D306" s="55"/>
      <c r="E306" s="55"/>
      <c r="F306" s="55"/>
      <c r="H306" s="56"/>
    </row>
    <row r="307" ht="15.75" customHeight="1">
      <c r="C307" s="54"/>
      <c r="D307" s="55"/>
      <c r="E307" s="55"/>
      <c r="F307" s="55"/>
      <c r="H307" s="56"/>
    </row>
    <row r="308" ht="15.75" customHeight="1">
      <c r="C308" s="54"/>
      <c r="D308" s="55"/>
      <c r="E308" s="55"/>
      <c r="F308" s="55"/>
      <c r="H308" s="56"/>
    </row>
    <row r="309" ht="15.75" customHeight="1">
      <c r="C309" s="54"/>
      <c r="D309" s="55"/>
      <c r="E309" s="55"/>
      <c r="F309" s="55"/>
      <c r="H309" s="56"/>
    </row>
    <row r="310" ht="15.75" customHeight="1">
      <c r="C310" s="54"/>
      <c r="D310" s="55"/>
      <c r="E310" s="55"/>
      <c r="F310" s="55"/>
      <c r="H310" s="56"/>
    </row>
    <row r="311" ht="15.75" customHeight="1">
      <c r="C311" s="54"/>
      <c r="D311" s="55"/>
      <c r="E311" s="55"/>
      <c r="F311" s="55"/>
      <c r="H311" s="56"/>
    </row>
    <row r="312" ht="15.75" customHeight="1">
      <c r="C312" s="54"/>
      <c r="D312" s="55"/>
      <c r="E312" s="55"/>
      <c r="F312" s="55"/>
      <c r="H312" s="56"/>
    </row>
    <row r="313" ht="15.75" customHeight="1">
      <c r="C313" s="54"/>
      <c r="D313" s="55"/>
      <c r="E313" s="55"/>
      <c r="F313" s="55"/>
      <c r="H313" s="56"/>
    </row>
    <row r="314" ht="15.75" customHeight="1">
      <c r="C314" s="54"/>
      <c r="D314" s="55"/>
      <c r="E314" s="55"/>
      <c r="F314" s="55"/>
      <c r="H314" s="56"/>
    </row>
    <row r="315" ht="15.75" customHeight="1">
      <c r="C315" s="54"/>
      <c r="D315" s="55"/>
      <c r="E315" s="55"/>
      <c r="F315" s="55"/>
      <c r="H315" s="56"/>
    </row>
    <row r="316" ht="15.75" customHeight="1">
      <c r="C316" s="54"/>
      <c r="D316" s="55"/>
      <c r="E316" s="55"/>
      <c r="F316" s="55"/>
      <c r="H316" s="56"/>
    </row>
    <row r="317" ht="15.75" customHeight="1">
      <c r="C317" s="54"/>
      <c r="D317" s="55"/>
      <c r="E317" s="55"/>
      <c r="F317" s="55"/>
      <c r="H317" s="56"/>
    </row>
    <row r="318" ht="15.75" customHeight="1">
      <c r="C318" s="54"/>
      <c r="D318" s="55"/>
      <c r="E318" s="55"/>
      <c r="F318" s="55"/>
      <c r="H318" s="56"/>
    </row>
    <row r="319" ht="15.75" customHeight="1">
      <c r="C319" s="54"/>
      <c r="D319" s="55"/>
      <c r="E319" s="55"/>
      <c r="F319" s="55"/>
      <c r="H319" s="56"/>
    </row>
    <row r="320" ht="15.75" customHeight="1">
      <c r="C320" s="54"/>
      <c r="D320" s="55"/>
      <c r="E320" s="55"/>
      <c r="F320" s="55"/>
      <c r="H320" s="56"/>
    </row>
    <row r="321" ht="15.75" customHeight="1">
      <c r="C321" s="54"/>
      <c r="D321" s="55"/>
      <c r="E321" s="55"/>
      <c r="F321" s="55"/>
      <c r="H321" s="56"/>
    </row>
    <row r="322" ht="15.75" customHeight="1">
      <c r="C322" s="54"/>
      <c r="D322" s="55"/>
      <c r="E322" s="55"/>
      <c r="F322" s="55"/>
      <c r="H322" s="56"/>
    </row>
    <row r="323" ht="15.75" customHeight="1">
      <c r="C323" s="54"/>
      <c r="D323" s="55"/>
      <c r="E323" s="55"/>
      <c r="F323" s="55"/>
      <c r="H323" s="56"/>
    </row>
    <row r="324" ht="15.75" customHeight="1">
      <c r="C324" s="54"/>
      <c r="D324" s="55"/>
      <c r="E324" s="55"/>
      <c r="F324" s="55"/>
      <c r="H324" s="56"/>
    </row>
    <row r="325" ht="15.75" customHeight="1">
      <c r="C325" s="54"/>
      <c r="D325" s="55"/>
      <c r="E325" s="55"/>
      <c r="F325" s="55"/>
      <c r="H325" s="56"/>
    </row>
    <row r="326" ht="15.75" customHeight="1">
      <c r="C326" s="54"/>
      <c r="D326" s="55"/>
      <c r="E326" s="55"/>
      <c r="F326" s="55"/>
      <c r="H326" s="56"/>
    </row>
    <row r="327" ht="15.75" customHeight="1">
      <c r="C327" s="54"/>
      <c r="D327" s="55"/>
      <c r="E327" s="55"/>
      <c r="F327" s="55"/>
      <c r="H327" s="56"/>
    </row>
    <row r="328" ht="15.75" customHeight="1">
      <c r="C328" s="54"/>
      <c r="D328" s="55"/>
      <c r="E328" s="55"/>
      <c r="F328" s="55"/>
      <c r="H328" s="56"/>
    </row>
    <row r="329" ht="15.75" customHeight="1">
      <c r="C329" s="54"/>
      <c r="D329" s="55"/>
      <c r="E329" s="55"/>
      <c r="F329" s="55"/>
      <c r="H329" s="56"/>
    </row>
    <row r="330" ht="15.75" customHeight="1">
      <c r="C330" s="54"/>
      <c r="D330" s="55"/>
      <c r="E330" s="55"/>
      <c r="F330" s="55"/>
      <c r="H330" s="56"/>
    </row>
    <row r="331" ht="15.75" customHeight="1">
      <c r="C331" s="54"/>
      <c r="D331" s="55"/>
      <c r="E331" s="55"/>
      <c r="F331" s="55"/>
      <c r="H331" s="56"/>
    </row>
    <row r="332" ht="15.75" customHeight="1">
      <c r="C332" s="54"/>
      <c r="D332" s="55"/>
      <c r="E332" s="55"/>
      <c r="F332" s="55"/>
      <c r="H332" s="56"/>
    </row>
    <row r="333" ht="15.75" customHeight="1">
      <c r="C333" s="54"/>
      <c r="D333" s="55"/>
      <c r="E333" s="55"/>
      <c r="F333" s="55"/>
      <c r="H333" s="56"/>
    </row>
    <row r="334" ht="15.75" customHeight="1">
      <c r="C334" s="54"/>
      <c r="D334" s="55"/>
      <c r="E334" s="55"/>
      <c r="F334" s="55"/>
      <c r="H334" s="56"/>
    </row>
    <row r="335" ht="15.75" customHeight="1">
      <c r="C335" s="54"/>
      <c r="D335" s="55"/>
      <c r="E335" s="55"/>
      <c r="F335" s="55"/>
      <c r="H335" s="56"/>
    </row>
    <row r="336" ht="15.75" customHeight="1">
      <c r="C336" s="54"/>
      <c r="D336" s="55"/>
      <c r="E336" s="55"/>
      <c r="F336" s="55"/>
      <c r="H336" s="56"/>
    </row>
    <row r="337" ht="15.75" customHeight="1">
      <c r="C337" s="54"/>
      <c r="D337" s="55"/>
      <c r="E337" s="55"/>
      <c r="F337" s="55"/>
      <c r="H337" s="56"/>
    </row>
    <row r="338" ht="15.75" customHeight="1">
      <c r="C338" s="54"/>
      <c r="D338" s="55"/>
      <c r="E338" s="55"/>
      <c r="F338" s="55"/>
      <c r="H338" s="56"/>
    </row>
    <row r="339" ht="15.75" customHeight="1">
      <c r="C339" s="54"/>
      <c r="D339" s="55"/>
      <c r="E339" s="55"/>
      <c r="F339" s="55"/>
      <c r="H339" s="56"/>
    </row>
    <row r="340" ht="15.75" customHeight="1">
      <c r="C340" s="54"/>
      <c r="D340" s="55"/>
      <c r="E340" s="55"/>
      <c r="F340" s="55"/>
      <c r="H340" s="56"/>
    </row>
    <row r="341" ht="15.75" customHeight="1">
      <c r="C341" s="54"/>
      <c r="D341" s="55"/>
      <c r="E341" s="55"/>
      <c r="F341" s="55"/>
      <c r="H341" s="56"/>
    </row>
    <row r="342" ht="15.75" customHeight="1">
      <c r="C342" s="54"/>
      <c r="D342" s="55"/>
      <c r="E342" s="55"/>
      <c r="F342" s="55"/>
      <c r="H342" s="56"/>
    </row>
    <row r="343" ht="15.75" customHeight="1">
      <c r="C343" s="54"/>
      <c r="D343" s="55"/>
      <c r="E343" s="55"/>
      <c r="F343" s="55"/>
      <c r="H343" s="56"/>
    </row>
    <row r="344" ht="15.75" customHeight="1">
      <c r="C344" s="54"/>
      <c r="D344" s="55"/>
      <c r="E344" s="55"/>
      <c r="F344" s="55"/>
      <c r="H344" s="56"/>
    </row>
    <row r="345" ht="15.75" customHeight="1">
      <c r="C345" s="54"/>
      <c r="D345" s="55"/>
      <c r="E345" s="55"/>
      <c r="F345" s="55"/>
      <c r="H345" s="56"/>
    </row>
    <row r="346" ht="15.75" customHeight="1">
      <c r="C346" s="54"/>
      <c r="D346" s="55"/>
      <c r="E346" s="55"/>
      <c r="F346" s="55"/>
      <c r="H346" s="56"/>
    </row>
    <row r="347" ht="15.75" customHeight="1">
      <c r="C347" s="54"/>
      <c r="D347" s="55"/>
      <c r="E347" s="55"/>
      <c r="F347" s="55"/>
      <c r="H347" s="56"/>
    </row>
    <row r="348" ht="15.75" customHeight="1">
      <c r="C348" s="54"/>
      <c r="D348" s="55"/>
      <c r="E348" s="55"/>
      <c r="F348" s="55"/>
      <c r="H348" s="56"/>
    </row>
    <row r="349" ht="15.75" customHeight="1">
      <c r="C349" s="54"/>
      <c r="D349" s="55"/>
      <c r="E349" s="55"/>
      <c r="F349" s="55"/>
      <c r="H349" s="56"/>
    </row>
    <row r="350" ht="15.75" customHeight="1">
      <c r="C350" s="54"/>
      <c r="D350" s="55"/>
      <c r="E350" s="55"/>
      <c r="F350" s="55"/>
      <c r="H350" s="56"/>
    </row>
    <row r="351" ht="15.75" customHeight="1">
      <c r="C351" s="54"/>
      <c r="D351" s="55"/>
      <c r="E351" s="55"/>
      <c r="F351" s="55"/>
      <c r="H351" s="56"/>
    </row>
    <row r="352" ht="15.75" customHeight="1">
      <c r="C352" s="54"/>
      <c r="D352" s="55"/>
      <c r="E352" s="55"/>
      <c r="F352" s="55"/>
      <c r="H352" s="56"/>
    </row>
    <row r="353" ht="15.75" customHeight="1">
      <c r="C353" s="54"/>
      <c r="D353" s="55"/>
      <c r="E353" s="55"/>
      <c r="F353" s="55"/>
      <c r="H353" s="56"/>
    </row>
    <row r="354" ht="15.75" customHeight="1">
      <c r="C354" s="54"/>
      <c r="D354" s="55"/>
      <c r="E354" s="55"/>
      <c r="F354" s="55"/>
      <c r="H354" s="56"/>
    </row>
    <row r="355" ht="15.75" customHeight="1">
      <c r="C355" s="54"/>
      <c r="D355" s="55"/>
      <c r="E355" s="55"/>
      <c r="F355" s="55"/>
      <c r="H355" s="56"/>
    </row>
    <row r="356" ht="15.75" customHeight="1">
      <c r="C356" s="54"/>
      <c r="D356" s="55"/>
      <c r="E356" s="55"/>
      <c r="F356" s="55"/>
      <c r="H356" s="56"/>
    </row>
    <row r="357" ht="15.75" customHeight="1">
      <c r="C357" s="54"/>
      <c r="D357" s="55"/>
      <c r="E357" s="55"/>
      <c r="F357" s="55"/>
      <c r="H357" s="56"/>
    </row>
    <row r="358" ht="15.75" customHeight="1">
      <c r="C358" s="54"/>
      <c r="D358" s="55"/>
      <c r="E358" s="55"/>
      <c r="F358" s="55"/>
      <c r="H358" s="56"/>
    </row>
    <row r="359" ht="15.75" customHeight="1">
      <c r="C359" s="54"/>
      <c r="D359" s="55"/>
      <c r="E359" s="55"/>
      <c r="F359" s="55"/>
      <c r="H359" s="56"/>
    </row>
    <row r="360" ht="15.75" customHeight="1">
      <c r="C360" s="54"/>
      <c r="D360" s="55"/>
      <c r="E360" s="55"/>
      <c r="F360" s="55"/>
      <c r="H360" s="56"/>
    </row>
    <row r="361" ht="15.75" customHeight="1">
      <c r="C361" s="54"/>
      <c r="D361" s="55"/>
      <c r="E361" s="55"/>
      <c r="F361" s="55"/>
      <c r="H361" s="56"/>
    </row>
    <row r="362" ht="15.75" customHeight="1">
      <c r="C362" s="54"/>
      <c r="D362" s="55"/>
      <c r="E362" s="55"/>
      <c r="F362" s="55"/>
      <c r="H362" s="56"/>
    </row>
    <row r="363" ht="15.75" customHeight="1">
      <c r="C363" s="54"/>
      <c r="D363" s="55"/>
      <c r="E363" s="55"/>
      <c r="F363" s="55"/>
      <c r="H363" s="56"/>
    </row>
    <row r="364" ht="15.75" customHeight="1">
      <c r="C364" s="54"/>
      <c r="D364" s="55"/>
      <c r="E364" s="55"/>
      <c r="F364" s="55"/>
      <c r="H364" s="56"/>
    </row>
    <row r="365" ht="15.75" customHeight="1">
      <c r="C365" s="54"/>
      <c r="D365" s="55"/>
      <c r="E365" s="55"/>
      <c r="F365" s="55"/>
      <c r="H365" s="56"/>
    </row>
    <row r="366" ht="15.75" customHeight="1">
      <c r="C366" s="54"/>
      <c r="D366" s="55"/>
      <c r="E366" s="55"/>
      <c r="F366" s="55"/>
      <c r="H366" s="56"/>
    </row>
    <row r="367" ht="15.75" customHeight="1">
      <c r="C367" s="54"/>
      <c r="D367" s="55"/>
      <c r="E367" s="55"/>
      <c r="F367" s="55"/>
      <c r="H367" s="56"/>
    </row>
    <row r="368" ht="15.75" customHeight="1">
      <c r="C368" s="54"/>
      <c r="D368" s="55"/>
      <c r="E368" s="55"/>
      <c r="F368" s="55"/>
      <c r="H368" s="56"/>
    </row>
    <row r="369" ht="15.75" customHeight="1">
      <c r="C369" s="54"/>
      <c r="D369" s="55"/>
      <c r="E369" s="55"/>
      <c r="F369" s="55"/>
      <c r="H369" s="56"/>
    </row>
    <row r="370" ht="15.75" customHeight="1">
      <c r="C370" s="54"/>
      <c r="D370" s="55"/>
      <c r="E370" s="55"/>
      <c r="F370" s="55"/>
      <c r="H370" s="56"/>
    </row>
    <row r="371" ht="15.75" customHeight="1">
      <c r="C371" s="54"/>
      <c r="D371" s="55"/>
      <c r="E371" s="55"/>
      <c r="F371" s="55"/>
      <c r="H371" s="56"/>
    </row>
    <row r="372" ht="15.75" customHeight="1">
      <c r="C372" s="54"/>
      <c r="D372" s="55"/>
      <c r="E372" s="55"/>
      <c r="F372" s="55"/>
      <c r="H372" s="56"/>
    </row>
    <row r="373" ht="15.75" customHeight="1">
      <c r="C373" s="54"/>
      <c r="D373" s="55"/>
      <c r="E373" s="55"/>
      <c r="F373" s="55"/>
      <c r="H373" s="56"/>
    </row>
    <row r="374" ht="15.75" customHeight="1">
      <c r="C374" s="54"/>
      <c r="D374" s="55"/>
      <c r="E374" s="55"/>
      <c r="F374" s="55"/>
      <c r="H374" s="56"/>
    </row>
    <row r="375" ht="15.75" customHeight="1">
      <c r="C375" s="54"/>
      <c r="D375" s="55"/>
      <c r="E375" s="55"/>
      <c r="F375" s="55"/>
      <c r="H375" s="56"/>
    </row>
    <row r="376" ht="15.75" customHeight="1">
      <c r="C376" s="54"/>
      <c r="D376" s="55"/>
      <c r="E376" s="55"/>
      <c r="F376" s="55"/>
      <c r="H376" s="56"/>
    </row>
    <row r="377" ht="15.75" customHeight="1">
      <c r="C377" s="54"/>
      <c r="D377" s="55"/>
      <c r="E377" s="55"/>
      <c r="F377" s="55"/>
      <c r="H377" s="56"/>
    </row>
    <row r="378" ht="15.75" customHeight="1">
      <c r="C378" s="54"/>
      <c r="D378" s="55"/>
      <c r="E378" s="55"/>
      <c r="F378" s="55"/>
      <c r="H378" s="56"/>
    </row>
    <row r="379" ht="15.75" customHeight="1">
      <c r="C379" s="54"/>
      <c r="D379" s="55"/>
      <c r="E379" s="55"/>
      <c r="F379" s="55"/>
      <c r="H379" s="56"/>
    </row>
    <row r="380" ht="15.75" customHeight="1">
      <c r="C380" s="54"/>
      <c r="D380" s="55"/>
      <c r="E380" s="55"/>
      <c r="F380" s="55"/>
      <c r="H380" s="56"/>
    </row>
    <row r="381" ht="15.75" customHeight="1">
      <c r="C381" s="54"/>
      <c r="D381" s="55"/>
      <c r="E381" s="55"/>
      <c r="F381" s="55"/>
      <c r="H381" s="56"/>
    </row>
    <row r="382" ht="15.75" customHeight="1">
      <c r="C382" s="54"/>
      <c r="D382" s="55"/>
      <c r="E382" s="55"/>
      <c r="F382" s="55"/>
      <c r="H382" s="56"/>
    </row>
    <row r="383" ht="15.75" customHeight="1">
      <c r="C383" s="54"/>
      <c r="D383" s="55"/>
      <c r="E383" s="55"/>
      <c r="F383" s="55"/>
      <c r="H383" s="56"/>
    </row>
    <row r="384" ht="15.75" customHeight="1">
      <c r="C384" s="54"/>
      <c r="D384" s="55"/>
      <c r="E384" s="55"/>
      <c r="F384" s="55"/>
      <c r="H384" s="56"/>
    </row>
    <row r="385" ht="15.75" customHeight="1">
      <c r="C385" s="54"/>
      <c r="D385" s="55"/>
      <c r="E385" s="55"/>
      <c r="F385" s="55"/>
      <c r="H385" s="56"/>
    </row>
    <row r="386" ht="15.75" customHeight="1">
      <c r="C386" s="54"/>
      <c r="D386" s="55"/>
      <c r="E386" s="55"/>
      <c r="F386" s="55"/>
      <c r="H386" s="56"/>
    </row>
    <row r="387" ht="15.75" customHeight="1">
      <c r="C387" s="54"/>
      <c r="D387" s="55"/>
      <c r="E387" s="55"/>
      <c r="F387" s="55"/>
      <c r="H387" s="56"/>
    </row>
    <row r="388" ht="15.75" customHeight="1">
      <c r="C388" s="54"/>
      <c r="D388" s="55"/>
      <c r="E388" s="55"/>
      <c r="F388" s="55"/>
      <c r="H388" s="56"/>
    </row>
    <row r="389" ht="15.75" customHeight="1">
      <c r="C389" s="54"/>
      <c r="D389" s="55"/>
      <c r="E389" s="55"/>
      <c r="F389" s="55"/>
      <c r="H389" s="56"/>
    </row>
    <row r="390" ht="15.75" customHeight="1">
      <c r="C390" s="54"/>
      <c r="D390" s="55"/>
      <c r="E390" s="55"/>
      <c r="F390" s="55"/>
      <c r="H390" s="56"/>
    </row>
    <row r="391" ht="15.75" customHeight="1">
      <c r="C391" s="54"/>
      <c r="D391" s="55"/>
      <c r="E391" s="55"/>
      <c r="F391" s="55"/>
      <c r="H391" s="56"/>
    </row>
    <row r="392" ht="15.75" customHeight="1">
      <c r="C392" s="54"/>
      <c r="D392" s="55"/>
      <c r="E392" s="55"/>
      <c r="F392" s="55"/>
      <c r="H392" s="56"/>
    </row>
    <row r="393" ht="15.75" customHeight="1">
      <c r="C393" s="54"/>
      <c r="D393" s="55"/>
      <c r="E393" s="55"/>
      <c r="F393" s="55"/>
      <c r="H393" s="56"/>
    </row>
    <row r="394" ht="15.75" customHeight="1">
      <c r="C394" s="54"/>
      <c r="D394" s="55"/>
      <c r="E394" s="55"/>
      <c r="F394" s="55"/>
      <c r="H394" s="56"/>
    </row>
    <row r="395" ht="15.75" customHeight="1">
      <c r="C395" s="54"/>
      <c r="D395" s="55"/>
      <c r="E395" s="55"/>
      <c r="F395" s="55"/>
      <c r="H395" s="56"/>
    </row>
    <row r="396" ht="15.75" customHeight="1">
      <c r="C396" s="54"/>
      <c r="D396" s="55"/>
      <c r="E396" s="55"/>
      <c r="F396" s="55"/>
      <c r="H396" s="56"/>
    </row>
    <row r="397" ht="15.75" customHeight="1">
      <c r="C397" s="54"/>
      <c r="D397" s="55"/>
      <c r="E397" s="55"/>
      <c r="F397" s="55"/>
      <c r="H397" s="56"/>
    </row>
    <row r="398" ht="15.75" customHeight="1">
      <c r="C398" s="54"/>
      <c r="D398" s="55"/>
      <c r="E398" s="55"/>
      <c r="F398" s="55"/>
      <c r="H398" s="56"/>
    </row>
    <row r="399" ht="15.75" customHeight="1">
      <c r="C399" s="54"/>
      <c r="D399" s="55"/>
      <c r="E399" s="55"/>
      <c r="F399" s="55"/>
      <c r="H399" s="56"/>
    </row>
    <row r="400" ht="15.75" customHeight="1">
      <c r="C400" s="54"/>
      <c r="D400" s="55"/>
      <c r="E400" s="55"/>
      <c r="F400" s="55"/>
      <c r="H400" s="56"/>
    </row>
    <row r="401" ht="15.75" customHeight="1">
      <c r="C401" s="54"/>
      <c r="D401" s="55"/>
      <c r="E401" s="55"/>
      <c r="F401" s="55"/>
      <c r="H401" s="56"/>
    </row>
    <row r="402" ht="15.75" customHeight="1">
      <c r="C402" s="54"/>
      <c r="D402" s="55"/>
      <c r="E402" s="55"/>
      <c r="F402" s="55"/>
      <c r="H402" s="56"/>
    </row>
    <row r="403" ht="15.75" customHeight="1">
      <c r="C403" s="54"/>
      <c r="D403" s="55"/>
      <c r="E403" s="55"/>
      <c r="F403" s="55"/>
      <c r="H403" s="56"/>
    </row>
    <row r="404" ht="15.75" customHeight="1">
      <c r="C404" s="54"/>
      <c r="D404" s="55"/>
      <c r="E404" s="55"/>
      <c r="F404" s="55"/>
      <c r="H404" s="56"/>
    </row>
    <row r="405" ht="15.75" customHeight="1">
      <c r="C405" s="54"/>
      <c r="D405" s="55"/>
      <c r="E405" s="55"/>
      <c r="F405" s="55"/>
      <c r="H405" s="56"/>
    </row>
    <row r="406" ht="15.75" customHeight="1">
      <c r="C406" s="54"/>
      <c r="D406" s="55"/>
      <c r="E406" s="55"/>
      <c r="F406" s="55"/>
      <c r="H406" s="56"/>
    </row>
    <row r="407" ht="15.75" customHeight="1">
      <c r="C407" s="54"/>
      <c r="D407" s="55"/>
      <c r="E407" s="55"/>
      <c r="F407" s="55"/>
      <c r="H407" s="56"/>
    </row>
    <row r="408" ht="15.75" customHeight="1">
      <c r="C408" s="54"/>
      <c r="D408" s="55"/>
      <c r="E408" s="55"/>
      <c r="F408" s="55"/>
      <c r="H408" s="56"/>
    </row>
    <row r="409" ht="15.75" customHeight="1">
      <c r="C409" s="54"/>
      <c r="D409" s="55"/>
      <c r="E409" s="55"/>
      <c r="F409" s="55"/>
      <c r="H409" s="56"/>
    </row>
    <row r="410" ht="15.75" customHeight="1">
      <c r="C410" s="54"/>
      <c r="D410" s="55"/>
      <c r="E410" s="55"/>
      <c r="F410" s="55"/>
      <c r="H410" s="56"/>
    </row>
    <row r="411" ht="15.75" customHeight="1">
      <c r="C411" s="54"/>
      <c r="D411" s="55"/>
      <c r="E411" s="55"/>
      <c r="F411" s="55"/>
      <c r="H411" s="56"/>
    </row>
    <row r="412" ht="15.75" customHeight="1">
      <c r="C412" s="54"/>
      <c r="D412" s="55"/>
      <c r="E412" s="55"/>
      <c r="F412" s="55"/>
      <c r="H412" s="56"/>
    </row>
    <row r="413" ht="15.75" customHeight="1">
      <c r="C413" s="54"/>
      <c r="D413" s="55"/>
      <c r="E413" s="55"/>
      <c r="F413" s="55"/>
      <c r="H413" s="56"/>
    </row>
    <row r="414" ht="15.75" customHeight="1">
      <c r="C414" s="54"/>
      <c r="D414" s="55"/>
      <c r="E414" s="55"/>
      <c r="F414" s="55"/>
      <c r="H414" s="56"/>
    </row>
    <row r="415" ht="15.75" customHeight="1">
      <c r="C415" s="54"/>
      <c r="D415" s="55"/>
      <c r="E415" s="55"/>
      <c r="F415" s="55"/>
      <c r="H415" s="56"/>
    </row>
    <row r="416" ht="15.75" customHeight="1">
      <c r="C416" s="54"/>
      <c r="D416" s="55"/>
      <c r="E416" s="55"/>
      <c r="F416" s="55"/>
      <c r="H416" s="56"/>
    </row>
    <row r="417" ht="15.75" customHeight="1">
      <c r="C417" s="54"/>
      <c r="D417" s="55"/>
      <c r="E417" s="55"/>
      <c r="F417" s="55"/>
      <c r="H417" s="56"/>
    </row>
    <row r="418" ht="15.75" customHeight="1">
      <c r="C418" s="54"/>
      <c r="D418" s="55"/>
      <c r="E418" s="55"/>
      <c r="F418" s="55"/>
      <c r="H418" s="56"/>
    </row>
    <row r="419" ht="15.75" customHeight="1">
      <c r="C419" s="54"/>
      <c r="D419" s="55"/>
      <c r="E419" s="55"/>
      <c r="F419" s="55"/>
      <c r="H419" s="56"/>
    </row>
    <row r="420" ht="15.75" customHeight="1">
      <c r="C420" s="54"/>
      <c r="D420" s="55"/>
      <c r="E420" s="55"/>
      <c r="F420" s="55"/>
      <c r="H420" s="56"/>
    </row>
    <row r="421" ht="15.75" customHeight="1">
      <c r="C421" s="54"/>
      <c r="D421" s="55"/>
      <c r="E421" s="55"/>
      <c r="F421" s="55"/>
      <c r="H421" s="56"/>
    </row>
    <row r="422" ht="15.75" customHeight="1">
      <c r="C422" s="54"/>
      <c r="D422" s="55"/>
      <c r="E422" s="55"/>
      <c r="F422" s="55"/>
      <c r="H422" s="56"/>
    </row>
    <row r="423" ht="15.75" customHeight="1">
      <c r="C423" s="54"/>
      <c r="D423" s="55"/>
      <c r="E423" s="55"/>
      <c r="F423" s="55"/>
      <c r="H423" s="56"/>
    </row>
    <row r="424" ht="15.75" customHeight="1">
      <c r="C424" s="54"/>
      <c r="D424" s="55"/>
      <c r="E424" s="55"/>
      <c r="F424" s="55"/>
      <c r="H424" s="56"/>
    </row>
    <row r="425" ht="15.75" customHeight="1">
      <c r="C425" s="54"/>
      <c r="D425" s="55"/>
      <c r="E425" s="55"/>
      <c r="F425" s="55"/>
      <c r="H425" s="56"/>
    </row>
    <row r="426" ht="15.75" customHeight="1">
      <c r="C426" s="54"/>
      <c r="D426" s="55"/>
      <c r="E426" s="55"/>
      <c r="F426" s="55"/>
      <c r="H426" s="56"/>
    </row>
    <row r="427" ht="15.75" customHeight="1">
      <c r="C427" s="54"/>
      <c r="D427" s="55"/>
      <c r="E427" s="55"/>
      <c r="F427" s="55"/>
      <c r="H427" s="56"/>
    </row>
    <row r="428" ht="15.75" customHeight="1">
      <c r="C428" s="54"/>
      <c r="D428" s="55"/>
      <c r="E428" s="55"/>
      <c r="F428" s="55"/>
      <c r="H428" s="56"/>
    </row>
    <row r="429" ht="15.75" customHeight="1">
      <c r="C429" s="54"/>
      <c r="D429" s="55"/>
      <c r="E429" s="55"/>
      <c r="F429" s="55"/>
      <c r="H429" s="56"/>
    </row>
    <row r="430" ht="15.75" customHeight="1">
      <c r="C430" s="54"/>
      <c r="D430" s="55"/>
      <c r="E430" s="55"/>
      <c r="F430" s="55"/>
      <c r="H430" s="56"/>
    </row>
    <row r="431" ht="15.75" customHeight="1">
      <c r="C431" s="54"/>
      <c r="D431" s="55"/>
      <c r="E431" s="55"/>
      <c r="F431" s="55"/>
      <c r="H431" s="56"/>
    </row>
    <row r="432" ht="15.75" customHeight="1">
      <c r="C432" s="54"/>
      <c r="D432" s="55"/>
      <c r="E432" s="55"/>
      <c r="F432" s="55"/>
      <c r="H432" s="56"/>
    </row>
    <row r="433" ht="15.75" customHeight="1">
      <c r="C433" s="54"/>
      <c r="D433" s="55"/>
      <c r="E433" s="55"/>
      <c r="F433" s="55"/>
      <c r="H433" s="56"/>
    </row>
    <row r="434" ht="15.75" customHeight="1">
      <c r="C434" s="54"/>
      <c r="D434" s="55"/>
      <c r="E434" s="55"/>
      <c r="F434" s="55"/>
      <c r="H434" s="56"/>
    </row>
    <row r="435" ht="15.75" customHeight="1">
      <c r="C435" s="54"/>
      <c r="D435" s="55"/>
      <c r="E435" s="55"/>
      <c r="F435" s="55"/>
      <c r="H435" s="56"/>
    </row>
    <row r="436" ht="15.75" customHeight="1">
      <c r="C436" s="54"/>
      <c r="D436" s="55"/>
      <c r="E436" s="55"/>
      <c r="F436" s="55"/>
      <c r="H436" s="56"/>
    </row>
    <row r="437" ht="15.75" customHeight="1">
      <c r="C437" s="54"/>
      <c r="D437" s="55"/>
      <c r="E437" s="55"/>
      <c r="F437" s="55"/>
      <c r="H437" s="56"/>
    </row>
    <row r="438" ht="15.75" customHeight="1">
      <c r="C438" s="54"/>
      <c r="D438" s="55"/>
      <c r="E438" s="55"/>
      <c r="F438" s="55"/>
      <c r="H438" s="56"/>
    </row>
    <row r="439" ht="15.75" customHeight="1">
      <c r="C439" s="54"/>
      <c r="D439" s="55"/>
      <c r="E439" s="55"/>
      <c r="F439" s="55"/>
      <c r="H439" s="56"/>
    </row>
    <row r="440" ht="15.75" customHeight="1">
      <c r="C440" s="54"/>
      <c r="D440" s="55"/>
      <c r="E440" s="55"/>
      <c r="F440" s="55"/>
      <c r="H440" s="56"/>
    </row>
    <row r="441" ht="15.75" customHeight="1">
      <c r="C441" s="54"/>
      <c r="D441" s="55"/>
      <c r="E441" s="55"/>
      <c r="F441" s="55"/>
      <c r="H441" s="56"/>
    </row>
    <row r="442" ht="15.75" customHeight="1">
      <c r="C442" s="54"/>
      <c r="D442" s="55"/>
      <c r="E442" s="55"/>
      <c r="F442" s="55"/>
      <c r="H442" s="56"/>
    </row>
    <row r="443" ht="15.75" customHeight="1">
      <c r="C443" s="54"/>
      <c r="D443" s="55"/>
      <c r="E443" s="55"/>
      <c r="F443" s="55"/>
      <c r="H443" s="56"/>
    </row>
    <row r="444" ht="15.75" customHeight="1">
      <c r="C444" s="54"/>
      <c r="D444" s="55"/>
      <c r="E444" s="55"/>
      <c r="F444" s="55"/>
      <c r="H444" s="56"/>
    </row>
    <row r="445" ht="15.75" customHeight="1">
      <c r="C445" s="54"/>
      <c r="D445" s="55"/>
      <c r="E445" s="55"/>
      <c r="F445" s="55"/>
      <c r="H445" s="56"/>
    </row>
    <row r="446" ht="15.75" customHeight="1">
      <c r="C446" s="54"/>
      <c r="D446" s="55"/>
      <c r="E446" s="55"/>
      <c r="F446" s="55"/>
      <c r="H446" s="56"/>
    </row>
    <row r="447" ht="15.75" customHeight="1">
      <c r="C447" s="54"/>
      <c r="D447" s="55"/>
      <c r="E447" s="55"/>
      <c r="F447" s="55"/>
      <c r="H447" s="56"/>
    </row>
    <row r="448" ht="15.75" customHeight="1">
      <c r="C448" s="54"/>
      <c r="D448" s="55"/>
      <c r="E448" s="55"/>
      <c r="F448" s="55"/>
      <c r="H448" s="56"/>
    </row>
    <row r="449" ht="15.75" customHeight="1">
      <c r="C449" s="54"/>
      <c r="D449" s="55"/>
      <c r="E449" s="55"/>
      <c r="F449" s="55"/>
      <c r="H449" s="56"/>
    </row>
    <row r="450" ht="15.75" customHeight="1">
      <c r="C450" s="54"/>
      <c r="D450" s="55"/>
      <c r="E450" s="55"/>
      <c r="F450" s="55"/>
      <c r="H450" s="56"/>
    </row>
    <row r="451" ht="15.75" customHeight="1">
      <c r="C451" s="54"/>
      <c r="D451" s="55"/>
      <c r="E451" s="55"/>
      <c r="F451" s="55"/>
      <c r="H451" s="56"/>
    </row>
    <row r="452" ht="15.75" customHeight="1">
      <c r="C452" s="54"/>
      <c r="D452" s="55"/>
      <c r="E452" s="55"/>
      <c r="F452" s="55"/>
      <c r="H452" s="56"/>
    </row>
    <row r="453" ht="15.75" customHeight="1">
      <c r="C453" s="54"/>
      <c r="D453" s="55"/>
      <c r="E453" s="55"/>
      <c r="F453" s="55"/>
      <c r="H453" s="56"/>
    </row>
    <row r="454" ht="15.75" customHeight="1">
      <c r="C454" s="54"/>
      <c r="D454" s="55"/>
      <c r="E454" s="55"/>
      <c r="F454" s="55"/>
      <c r="H454" s="56"/>
    </row>
    <row r="455" ht="15.75" customHeight="1">
      <c r="C455" s="54"/>
      <c r="D455" s="55"/>
      <c r="E455" s="55"/>
      <c r="F455" s="55"/>
      <c r="H455" s="56"/>
    </row>
    <row r="456" ht="15.75" customHeight="1">
      <c r="C456" s="54"/>
      <c r="D456" s="55"/>
      <c r="E456" s="55"/>
      <c r="F456" s="55"/>
      <c r="H456" s="56"/>
    </row>
    <row r="457" ht="15.75" customHeight="1">
      <c r="C457" s="54"/>
      <c r="D457" s="55"/>
      <c r="E457" s="55"/>
      <c r="F457" s="55"/>
      <c r="H457" s="56"/>
    </row>
    <row r="458" ht="15.75" customHeight="1">
      <c r="C458" s="54"/>
      <c r="D458" s="55"/>
      <c r="E458" s="55"/>
      <c r="F458" s="55"/>
      <c r="H458" s="56"/>
    </row>
    <row r="459" ht="15.75" customHeight="1">
      <c r="C459" s="54"/>
      <c r="D459" s="55"/>
      <c r="E459" s="55"/>
      <c r="F459" s="55"/>
      <c r="H459" s="56"/>
    </row>
    <row r="460" ht="15.75" customHeight="1">
      <c r="C460" s="54"/>
      <c r="D460" s="55"/>
      <c r="E460" s="55"/>
      <c r="F460" s="55"/>
      <c r="H460" s="56"/>
    </row>
    <row r="461" ht="15.75" customHeight="1">
      <c r="C461" s="54"/>
      <c r="D461" s="55"/>
      <c r="E461" s="55"/>
      <c r="F461" s="55"/>
      <c r="H461" s="56"/>
    </row>
    <row r="462" ht="15.75" customHeight="1">
      <c r="C462" s="54"/>
      <c r="D462" s="55"/>
      <c r="E462" s="55"/>
      <c r="F462" s="55"/>
      <c r="H462" s="56"/>
    </row>
    <row r="463" ht="15.75" customHeight="1">
      <c r="C463" s="54"/>
      <c r="D463" s="55"/>
      <c r="E463" s="55"/>
      <c r="F463" s="55"/>
      <c r="H463" s="56"/>
    </row>
    <row r="464" ht="15.75" customHeight="1">
      <c r="C464" s="54"/>
      <c r="D464" s="55"/>
      <c r="E464" s="55"/>
      <c r="F464" s="55"/>
      <c r="H464" s="56"/>
    </row>
    <row r="465" ht="15.75" customHeight="1">
      <c r="C465" s="54"/>
      <c r="D465" s="55"/>
      <c r="E465" s="55"/>
      <c r="F465" s="55"/>
      <c r="H465" s="56"/>
    </row>
    <row r="466" ht="15.75" customHeight="1">
      <c r="C466" s="54"/>
      <c r="D466" s="55"/>
      <c r="E466" s="55"/>
      <c r="F466" s="55"/>
      <c r="H466" s="56"/>
    </row>
    <row r="467" ht="15.75" customHeight="1">
      <c r="C467" s="54"/>
      <c r="D467" s="55"/>
      <c r="E467" s="55"/>
      <c r="F467" s="55"/>
      <c r="H467" s="56"/>
    </row>
    <row r="468" ht="15.75" customHeight="1">
      <c r="C468" s="54"/>
      <c r="D468" s="55"/>
      <c r="E468" s="55"/>
      <c r="F468" s="55"/>
      <c r="H468" s="56"/>
    </row>
    <row r="469" ht="15.75" customHeight="1">
      <c r="C469" s="54"/>
      <c r="D469" s="55"/>
      <c r="E469" s="55"/>
      <c r="F469" s="55"/>
      <c r="H469" s="56"/>
    </row>
    <row r="470" ht="15.75" customHeight="1">
      <c r="C470" s="54"/>
      <c r="D470" s="55"/>
      <c r="E470" s="55"/>
      <c r="F470" s="55"/>
      <c r="H470" s="56"/>
    </row>
    <row r="471" ht="15.75" customHeight="1">
      <c r="C471" s="54"/>
      <c r="D471" s="55"/>
      <c r="E471" s="55"/>
      <c r="F471" s="55"/>
      <c r="H471" s="56"/>
    </row>
    <row r="472" ht="15.75" customHeight="1">
      <c r="C472" s="54"/>
      <c r="D472" s="55"/>
      <c r="E472" s="55"/>
      <c r="F472" s="55"/>
      <c r="H472" s="56"/>
    </row>
    <row r="473" ht="15.75" customHeight="1">
      <c r="C473" s="54"/>
      <c r="D473" s="55"/>
      <c r="E473" s="55"/>
      <c r="F473" s="55"/>
      <c r="H473" s="56"/>
    </row>
    <row r="474" ht="15.75" customHeight="1">
      <c r="C474" s="54"/>
      <c r="D474" s="55"/>
      <c r="E474" s="55"/>
      <c r="F474" s="55"/>
      <c r="H474" s="56"/>
    </row>
    <row r="475" ht="15.75" customHeight="1">
      <c r="C475" s="54"/>
      <c r="D475" s="55"/>
      <c r="E475" s="55"/>
      <c r="F475" s="55"/>
      <c r="H475" s="56"/>
    </row>
    <row r="476" ht="15.75" customHeight="1">
      <c r="C476" s="54"/>
      <c r="D476" s="55"/>
      <c r="E476" s="55"/>
      <c r="F476" s="55"/>
      <c r="H476" s="56"/>
    </row>
    <row r="477" ht="15.75" customHeight="1">
      <c r="C477" s="54"/>
      <c r="D477" s="55"/>
      <c r="E477" s="55"/>
      <c r="F477" s="55"/>
      <c r="H477" s="56"/>
    </row>
    <row r="478" ht="15.75" customHeight="1">
      <c r="C478" s="54"/>
      <c r="D478" s="55"/>
      <c r="E478" s="55"/>
      <c r="F478" s="55"/>
      <c r="H478" s="56"/>
    </row>
    <row r="479" ht="15.75" customHeight="1">
      <c r="C479" s="54"/>
      <c r="D479" s="55"/>
      <c r="E479" s="55"/>
      <c r="F479" s="55"/>
      <c r="H479" s="56"/>
    </row>
    <row r="480" ht="15.75" customHeight="1">
      <c r="C480" s="54"/>
      <c r="D480" s="55"/>
      <c r="E480" s="55"/>
      <c r="F480" s="55"/>
      <c r="H480" s="56"/>
    </row>
    <row r="481" ht="15.75" customHeight="1">
      <c r="C481" s="54"/>
      <c r="D481" s="55"/>
      <c r="E481" s="55"/>
      <c r="F481" s="55"/>
      <c r="H481" s="56"/>
    </row>
    <row r="482" ht="15.75" customHeight="1">
      <c r="C482" s="54"/>
      <c r="D482" s="55"/>
      <c r="E482" s="55"/>
      <c r="F482" s="55"/>
      <c r="H482" s="56"/>
    </row>
    <row r="483" ht="15.75" customHeight="1">
      <c r="C483" s="54"/>
      <c r="D483" s="55"/>
      <c r="E483" s="55"/>
      <c r="F483" s="55"/>
      <c r="H483" s="56"/>
    </row>
    <row r="484" ht="15.75" customHeight="1">
      <c r="C484" s="54"/>
      <c r="D484" s="55"/>
      <c r="E484" s="55"/>
      <c r="F484" s="55"/>
      <c r="H484" s="56"/>
    </row>
    <row r="485" ht="15.75" customHeight="1">
      <c r="C485" s="54"/>
      <c r="D485" s="55"/>
      <c r="E485" s="55"/>
      <c r="F485" s="55"/>
      <c r="H485" s="56"/>
    </row>
    <row r="486" ht="15.75" customHeight="1">
      <c r="C486" s="54"/>
      <c r="D486" s="55"/>
      <c r="E486" s="55"/>
      <c r="F486" s="55"/>
      <c r="H486" s="56"/>
    </row>
    <row r="487" ht="15.75" customHeight="1">
      <c r="C487" s="54"/>
      <c r="D487" s="55"/>
      <c r="E487" s="55"/>
      <c r="F487" s="55"/>
      <c r="H487" s="56"/>
    </row>
    <row r="488" ht="15.75" customHeight="1">
      <c r="C488" s="54"/>
      <c r="D488" s="55"/>
      <c r="E488" s="55"/>
      <c r="F488" s="55"/>
      <c r="H488" s="56"/>
    </row>
    <row r="489" ht="15.75" customHeight="1">
      <c r="C489" s="54"/>
      <c r="D489" s="55"/>
      <c r="E489" s="55"/>
      <c r="F489" s="55"/>
      <c r="H489" s="56"/>
    </row>
    <row r="490" ht="15.75" customHeight="1">
      <c r="C490" s="54"/>
      <c r="D490" s="55"/>
      <c r="E490" s="55"/>
      <c r="F490" s="55"/>
      <c r="H490" s="56"/>
    </row>
    <row r="491" ht="15.75" customHeight="1">
      <c r="C491" s="54"/>
      <c r="D491" s="55"/>
      <c r="E491" s="55"/>
      <c r="F491" s="55"/>
      <c r="H491" s="56"/>
    </row>
    <row r="492" ht="15.75" customHeight="1">
      <c r="C492" s="54"/>
      <c r="D492" s="55"/>
      <c r="E492" s="55"/>
      <c r="F492" s="55"/>
      <c r="H492" s="56"/>
    </row>
    <row r="493" ht="15.75" customHeight="1">
      <c r="C493" s="54"/>
      <c r="D493" s="55"/>
      <c r="E493" s="55"/>
      <c r="F493" s="55"/>
      <c r="H493" s="56"/>
    </row>
    <row r="494" ht="15.75" customHeight="1">
      <c r="C494" s="54"/>
      <c r="D494" s="55"/>
      <c r="E494" s="55"/>
      <c r="F494" s="55"/>
      <c r="H494" s="56"/>
    </row>
    <row r="495" ht="15.75" customHeight="1">
      <c r="C495" s="54"/>
      <c r="D495" s="55"/>
      <c r="E495" s="55"/>
      <c r="F495" s="55"/>
      <c r="H495" s="56"/>
    </row>
    <row r="496" ht="15.75" customHeight="1">
      <c r="C496" s="54"/>
      <c r="D496" s="55"/>
      <c r="E496" s="55"/>
      <c r="F496" s="55"/>
      <c r="H496" s="56"/>
    </row>
    <row r="497" ht="15.75" customHeight="1">
      <c r="C497" s="54"/>
      <c r="D497" s="55"/>
      <c r="E497" s="55"/>
      <c r="F497" s="55"/>
      <c r="H497" s="56"/>
    </row>
    <row r="498" ht="15.75" customHeight="1">
      <c r="C498" s="54"/>
      <c r="D498" s="55"/>
      <c r="E498" s="55"/>
      <c r="F498" s="55"/>
      <c r="H498" s="56"/>
    </row>
    <row r="499" ht="15.75" customHeight="1">
      <c r="C499" s="54"/>
      <c r="D499" s="55"/>
      <c r="E499" s="55"/>
      <c r="F499" s="55"/>
      <c r="H499" s="56"/>
    </row>
    <row r="500" ht="15.75" customHeight="1">
      <c r="C500" s="54"/>
      <c r="D500" s="55"/>
      <c r="E500" s="55"/>
      <c r="F500" s="55"/>
      <c r="H500" s="56"/>
    </row>
    <row r="501" ht="15.75" customHeight="1">
      <c r="C501" s="54"/>
      <c r="D501" s="55"/>
      <c r="E501" s="55"/>
      <c r="F501" s="55"/>
      <c r="H501" s="56"/>
    </row>
    <row r="502" ht="15.75" customHeight="1">
      <c r="C502" s="54"/>
      <c r="D502" s="55"/>
      <c r="E502" s="55"/>
      <c r="F502" s="55"/>
      <c r="H502" s="56"/>
    </row>
    <row r="503" ht="15.75" customHeight="1">
      <c r="C503" s="54"/>
      <c r="D503" s="55"/>
      <c r="E503" s="55"/>
      <c r="F503" s="55"/>
      <c r="H503" s="56"/>
    </row>
    <row r="504" ht="15.75" customHeight="1">
      <c r="C504" s="54"/>
      <c r="D504" s="55"/>
      <c r="E504" s="55"/>
      <c r="F504" s="55"/>
      <c r="H504" s="56"/>
    </row>
    <row r="505" ht="15.75" customHeight="1">
      <c r="C505" s="54"/>
      <c r="D505" s="55"/>
      <c r="E505" s="55"/>
      <c r="F505" s="55"/>
      <c r="H505" s="56"/>
    </row>
    <row r="506" ht="15.75" customHeight="1">
      <c r="C506" s="54"/>
      <c r="D506" s="55"/>
      <c r="E506" s="55"/>
      <c r="F506" s="55"/>
      <c r="H506" s="56"/>
    </row>
    <row r="507" ht="15.75" customHeight="1">
      <c r="C507" s="54"/>
      <c r="D507" s="55"/>
      <c r="E507" s="55"/>
      <c r="F507" s="55"/>
      <c r="H507" s="56"/>
    </row>
    <row r="508" ht="15.75" customHeight="1">
      <c r="C508" s="54"/>
      <c r="D508" s="55"/>
      <c r="E508" s="55"/>
      <c r="F508" s="55"/>
      <c r="H508" s="56"/>
    </row>
    <row r="509" ht="15.75" customHeight="1">
      <c r="C509" s="54"/>
      <c r="D509" s="55"/>
      <c r="E509" s="55"/>
      <c r="F509" s="55"/>
      <c r="H509" s="56"/>
    </row>
    <row r="510" ht="15.75" customHeight="1">
      <c r="C510" s="54"/>
      <c r="D510" s="55"/>
      <c r="E510" s="55"/>
      <c r="F510" s="55"/>
      <c r="H510" s="56"/>
    </row>
    <row r="511" ht="15.75" customHeight="1">
      <c r="C511" s="54"/>
      <c r="D511" s="55"/>
      <c r="E511" s="55"/>
      <c r="F511" s="55"/>
      <c r="H511" s="56"/>
    </row>
    <row r="512" ht="15.75" customHeight="1">
      <c r="C512" s="54"/>
      <c r="D512" s="55"/>
      <c r="E512" s="55"/>
      <c r="F512" s="55"/>
      <c r="H512" s="56"/>
    </row>
    <row r="513" ht="15.75" customHeight="1">
      <c r="C513" s="54"/>
      <c r="D513" s="55"/>
      <c r="E513" s="55"/>
      <c r="F513" s="55"/>
      <c r="H513" s="56"/>
    </row>
    <row r="514" ht="15.75" customHeight="1">
      <c r="C514" s="54"/>
      <c r="D514" s="55"/>
      <c r="E514" s="55"/>
      <c r="F514" s="55"/>
      <c r="H514" s="56"/>
    </row>
    <row r="515" ht="15.75" customHeight="1">
      <c r="C515" s="54"/>
      <c r="D515" s="55"/>
      <c r="E515" s="55"/>
      <c r="F515" s="55"/>
      <c r="H515" s="56"/>
    </row>
    <row r="516" ht="15.75" customHeight="1">
      <c r="C516" s="54"/>
      <c r="D516" s="55"/>
      <c r="E516" s="55"/>
      <c r="F516" s="55"/>
      <c r="H516" s="56"/>
    </row>
    <row r="517" ht="15.75" customHeight="1">
      <c r="C517" s="54"/>
      <c r="D517" s="55"/>
      <c r="E517" s="55"/>
      <c r="F517" s="55"/>
      <c r="H517" s="56"/>
    </row>
    <row r="518" ht="15.75" customHeight="1">
      <c r="C518" s="54"/>
      <c r="D518" s="55"/>
      <c r="E518" s="55"/>
      <c r="F518" s="55"/>
      <c r="H518" s="56"/>
    </row>
    <row r="519" ht="15.75" customHeight="1">
      <c r="C519" s="54"/>
      <c r="D519" s="55"/>
      <c r="E519" s="55"/>
      <c r="F519" s="55"/>
      <c r="H519" s="56"/>
    </row>
    <row r="520" ht="15.75" customHeight="1">
      <c r="C520" s="54"/>
      <c r="D520" s="55"/>
      <c r="E520" s="55"/>
      <c r="F520" s="55"/>
      <c r="H520" s="56"/>
    </row>
    <row r="521" ht="15.75" customHeight="1">
      <c r="C521" s="54"/>
      <c r="D521" s="55"/>
      <c r="E521" s="55"/>
      <c r="F521" s="55"/>
      <c r="H521" s="56"/>
    </row>
    <row r="522" ht="15.75" customHeight="1">
      <c r="C522" s="54"/>
      <c r="D522" s="55"/>
      <c r="E522" s="55"/>
      <c r="F522" s="55"/>
      <c r="H522" s="56"/>
    </row>
    <row r="523" ht="15.75" customHeight="1">
      <c r="C523" s="54"/>
      <c r="D523" s="55"/>
      <c r="E523" s="55"/>
      <c r="F523" s="55"/>
      <c r="H523" s="56"/>
    </row>
    <row r="524" ht="15.75" customHeight="1">
      <c r="C524" s="54"/>
      <c r="D524" s="55"/>
      <c r="E524" s="55"/>
      <c r="F524" s="55"/>
      <c r="H524" s="56"/>
    </row>
    <row r="525" ht="15.75" customHeight="1">
      <c r="C525" s="54"/>
      <c r="D525" s="55"/>
      <c r="E525" s="55"/>
      <c r="F525" s="55"/>
      <c r="H525" s="56"/>
    </row>
    <row r="526" ht="15.75" customHeight="1">
      <c r="C526" s="54"/>
      <c r="D526" s="55"/>
      <c r="E526" s="55"/>
      <c r="F526" s="55"/>
      <c r="H526" s="56"/>
    </row>
    <row r="527" ht="15.75" customHeight="1">
      <c r="C527" s="54"/>
      <c r="D527" s="55"/>
      <c r="E527" s="55"/>
      <c r="F527" s="55"/>
      <c r="H527" s="56"/>
    </row>
    <row r="528" ht="15.75" customHeight="1">
      <c r="C528" s="54"/>
      <c r="D528" s="55"/>
      <c r="E528" s="55"/>
      <c r="F528" s="55"/>
      <c r="H528" s="56"/>
    </row>
    <row r="529" ht="15.75" customHeight="1">
      <c r="C529" s="54"/>
      <c r="D529" s="55"/>
      <c r="E529" s="55"/>
      <c r="F529" s="55"/>
      <c r="H529" s="56"/>
    </row>
    <row r="530" ht="15.75" customHeight="1">
      <c r="C530" s="54"/>
      <c r="D530" s="55"/>
      <c r="E530" s="55"/>
      <c r="F530" s="55"/>
      <c r="H530" s="56"/>
    </row>
    <row r="531" ht="15.75" customHeight="1">
      <c r="C531" s="54"/>
      <c r="D531" s="55"/>
      <c r="E531" s="55"/>
      <c r="F531" s="55"/>
      <c r="H531" s="56"/>
    </row>
    <row r="532" ht="15.75" customHeight="1">
      <c r="C532" s="54"/>
      <c r="D532" s="55"/>
      <c r="E532" s="55"/>
      <c r="F532" s="55"/>
      <c r="H532" s="56"/>
    </row>
    <row r="533" ht="15.75" customHeight="1">
      <c r="C533" s="54"/>
      <c r="D533" s="55"/>
      <c r="E533" s="55"/>
      <c r="F533" s="55"/>
      <c r="H533" s="56"/>
    </row>
    <row r="534" ht="15.75" customHeight="1">
      <c r="C534" s="54"/>
      <c r="D534" s="55"/>
      <c r="E534" s="55"/>
      <c r="F534" s="55"/>
      <c r="H534" s="56"/>
    </row>
    <row r="535" ht="15.75" customHeight="1">
      <c r="C535" s="54"/>
      <c r="D535" s="55"/>
      <c r="E535" s="55"/>
      <c r="F535" s="55"/>
      <c r="H535" s="56"/>
    </row>
    <row r="536" ht="15.75" customHeight="1">
      <c r="C536" s="54"/>
      <c r="D536" s="55"/>
      <c r="E536" s="55"/>
      <c r="F536" s="55"/>
      <c r="H536" s="56"/>
    </row>
    <row r="537" ht="15.75" customHeight="1">
      <c r="C537" s="54"/>
      <c r="D537" s="55"/>
      <c r="E537" s="55"/>
      <c r="F537" s="55"/>
      <c r="H537" s="56"/>
    </row>
    <row r="538" ht="15.75" customHeight="1">
      <c r="C538" s="54"/>
      <c r="D538" s="55"/>
      <c r="E538" s="55"/>
      <c r="F538" s="55"/>
      <c r="H538" s="56"/>
    </row>
    <row r="539" ht="15.75" customHeight="1">
      <c r="C539" s="54"/>
      <c r="D539" s="55"/>
      <c r="E539" s="55"/>
      <c r="F539" s="55"/>
      <c r="H539" s="56"/>
    </row>
    <row r="540" ht="15.75" customHeight="1">
      <c r="C540" s="54"/>
      <c r="D540" s="55"/>
      <c r="E540" s="55"/>
      <c r="F540" s="55"/>
      <c r="H540" s="56"/>
    </row>
    <row r="541" ht="15.75" customHeight="1">
      <c r="C541" s="54"/>
      <c r="D541" s="55"/>
      <c r="E541" s="55"/>
      <c r="F541" s="55"/>
      <c r="H541" s="56"/>
    </row>
    <row r="542" ht="15.75" customHeight="1">
      <c r="C542" s="54"/>
      <c r="D542" s="55"/>
      <c r="E542" s="55"/>
      <c r="F542" s="55"/>
      <c r="H542" s="56"/>
    </row>
    <row r="543" ht="15.75" customHeight="1">
      <c r="C543" s="54"/>
      <c r="D543" s="55"/>
      <c r="E543" s="55"/>
      <c r="F543" s="55"/>
      <c r="H543" s="56"/>
    </row>
    <row r="544" ht="15.75" customHeight="1">
      <c r="C544" s="54"/>
      <c r="D544" s="55"/>
      <c r="E544" s="55"/>
      <c r="F544" s="55"/>
      <c r="H544" s="56"/>
    </row>
    <row r="545" ht="15.75" customHeight="1">
      <c r="C545" s="54"/>
      <c r="D545" s="55"/>
      <c r="E545" s="55"/>
      <c r="F545" s="55"/>
      <c r="H545" s="56"/>
    </row>
    <row r="546" ht="15.75" customHeight="1">
      <c r="C546" s="54"/>
      <c r="D546" s="55"/>
      <c r="E546" s="55"/>
      <c r="F546" s="55"/>
      <c r="H546" s="56"/>
    </row>
    <row r="547" ht="15.75" customHeight="1">
      <c r="C547" s="54"/>
      <c r="D547" s="55"/>
      <c r="E547" s="55"/>
      <c r="F547" s="55"/>
      <c r="H547" s="56"/>
    </row>
    <row r="548" ht="15.75" customHeight="1">
      <c r="C548" s="54"/>
      <c r="D548" s="55"/>
      <c r="E548" s="55"/>
      <c r="F548" s="55"/>
      <c r="H548" s="56"/>
    </row>
    <row r="549" ht="15.75" customHeight="1">
      <c r="C549" s="54"/>
      <c r="D549" s="55"/>
      <c r="E549" s="55"/>
      <c r="F549" s="55"/>
      <c r="H549" s="56"/>
    </row>
    <row r="550" ht="15.75" customHeight="1">
      <c r="C550" s="54"/>
      <c r="D550" s="55"/>
      <c r="E550" s="55"/>
      <c r="F550" s="55"/>
      <c r="H550" s="56"/>
    </row>
    <row r="551" ht="15.75" customHeight="1">
      <c r="C551" s="54"/>
      <c r="D551" s="55"/>
      <c r="E551" s="55"/>
      <c r="F551" s="55"/>
      <c r="H551" s="56"/>
    </row>
    <row r="552" ht="15.75" customHeight="1">
      <c r="C552" s="54"/>
      <c r="D552" s="55"/>
      <c r="E552" s="55"/>
      <c r="F552" s="55"/>
      <c r="H552" s="56"/>
    </row>
    <row r="553" ht="15.75" customHeight="1">
      <c r="C553" s="54"/>
      <c r="D553" s="55"/>
      <c r="E553" s="55"/>
      <c r="F553" s="55"/>
      <c r="H553" s="56"/>
    </row>
    <row r="554" ht="15.75" customHeight="1">
      <c r="C554" s="54"/>
      <c r="D554" s="55"/>
      <c r="E554" s="55"/>
      <c r="F554" s="55"/>
      <c r="H554" s="56"/>
    </row>
    <row r="555" ht="15.75" customHeight="1">
      <c r="C555" s="54"/>
      <c r="D555" s="55"/>
      <c r="E555" s="55"/>
      <c r="F555" s="55"/>
      <c r="H555" s="56"/>
    </row>
    <row r="556" ht="15.75" customHeight="1">
      <c r="C556" s="54"/>
      <c r="D556" s="55"/>
      <c r="E556" s="55"/>
      <c r="F556" s="55"/>
      <c r="H556" s="56"/>
    </row>
    <row r="557" ht="15.75" customHeight="1">
      <c r="C557" s="54"/>
      <c r="D557" s="55"/>
      <c r="E557" s="55"/>
      <c r="F557" s="55"/>
      <c r="H557" s="56"/>
    </row>
    <row r="558" ht="15.75" customHeight="1">
      <c r="C558" s="54"/>
      <c r="D558" s="55"/>
      <c r="E558" s="55"/>
      <c r="F558" s="55"/>
      <c r="H558" s="56"/>
    </row>
    <row r="559" ht="15.75" customHeight="1">
      <c r="C559" s="54"/>
      <c r="D559" s="55"/>
      <c r="E559" s="55"/>
      <c r="F559" s="55"/>
      <c r="H559" s="56"/>
    </row>
    <row r="560" ht="15.75" customHeight="1">
      <c r="C560" s="54"/>
      <c r="D560" s="55"/>
      <c r="E560" s="55"/>
      <c r="F560" s="55"/>
      <c r="H560" s="56"/>
    </row>
    <row r="561" ht="15.75" customHeight="1">
      <c r="C561" s="54"/>
      <c r="D561" s="55"/>
      <c r="E561" s="55"/>
      <c r="F561" s="55"/>
      <c r="H561" s="56"/>
    </row>
    <row r="562" ht="15.75" customHeight="1">
      <c r="C562" s="54"/>
      <c r="D562" s="55"/>
      <c r="E562" s="55"/>
      <c r="F562" s="55"/>
      <c r="H562" s="56"/>
    </row>
    <row r="563" ht="15.75" customHeight="1">
      <c r="C563" s="54"/>
      <c r="D563" s="55"/>
      <c r="E563" s="55"/>
      <c r="F563" s="55"/>
      <c r="H563" s="56"/>
    </row>
    <row r="564" ht="15.75" customHeight="1">
      <c r="C564" s="54"/>
      <c r="D564" s="55"/>
      <c r="E564" s="55"/>
      <c r="F564" s="55"/>
      <c r="H564" s="56"/>
    </row>
    <row r="565" ht="15.75" customHeight="1">
      <c r="C565" s="54"/>
      <c r="D565" s="55"/>
      <c r="E565" s="55"/>
      <c r="F565" s="55"/>
      <c r="H565" s="56"/>
    </row>
    <row r="566" ht="15.75" customHeight="1">
      <c r="C566" s="54"/>
      <c r="D566" s="55"/>
      <c r="E566" s="55"/>
      <c r="F566" s="55"/>
      <c r="H566" s="56"/>
    </row>
    <row r="567" ht="15.75" customHeight="1">
      <c r="C567" s="54"/>
      <c r="D567" s="55"/>
      <c r="E567" s="55"/>
      <c r="F567" s="55"/>
      <c r="H567" s="56"/>
    </row>
    <row r="568" ht="15.75" customHeight="1">
      <c r="C568" s="54"/>
      <c r="D568" s="55"/>
      <c r="E568" s="55"/>
      <c r="F568" s="55"/>
      <c r="H568" s="56"/>
    </row>
    <row r="569" ht="15.75" customHeight="1">
      <c r="C569" s="54"/>
      <c r="D569" s="55"/>
      <c r="E569" s="55"/>
      <c r="F569" s="55"/>
      <c r="H569" s="56"/>
    </row>
    <row r="570" ht="15.75" customHeight="1">
      <c r="C570" s="54"/>
      <c r="D570" s="55"/>
      <c r="E570" s="55"/>
      <c r="F570" s="55"/>
      <c r="H570" s="56"/>
    </row>
    <row r="571" ht="15.75" customHeight="1">
      <c r="C571" s="54"/>
      <c r="D571" s="55"/>
      <c r="E571" s="55"/>
      <c r="F571" s="55"/>
      <c r="H571" s="56"/>
    </row>
    <row r="572" ht="15.75" customHeight="1">
      <c r="C572" s="54"/>
      <c r="D572" s="55"/>
      <c r="E572" s="55"/>
      <c r="F572" s="55"/>
      <c r="H572" s="56"/>
    </row>
    <row r="573" ht="15.75" customHeight="1">
      <c r="C573" s="54"/>
      <c r="D573" s="55"/>
      <c r="E573" s="55"/>
      <c r="F573" s="55"/>
      <c r="H573" s="56"/>
    </row>
    <row r="574" ht="15.75" customHeight="1">
      <c r="C574" s="54"/>
      <c r="D574" s="55"/>
      <c r="E574" s="55"/>
      <c r="F574" s="55"/>
      <c r="H574" s="56"/>
    </row>
    <row r="575" ht="15.75" customHeight="1">
      <c r="C575" s="54"/>
      <c r="D575" s="55"/>
      <c r="E575" s="55"/>
      <c r="F575" s="55"/>
      <c r="H575" s="56"/>
    </row>
    <row r="576" ht="15.75" customHeight="1">
      <c r="C576" s="54"/>
      <c r="D576" s="55"/>
      <c r="E576" s="55"/>
      <c r="F576" s="55"/>
      <c r="H576" s="56"/>
    </row>
    <row r="577" ht="15.75" customHeight="1">
      <c r="C577" s="54"/>
      <c r="D577" s="55"/>
      <c r="E577" s="55"/>
      <c r="F577" s="55"/>
      <c r="H577" s="56"/>
    </row>
    <row r="578" ht="15.75" customHeight="1">
      <c r="C578" s="54"/>
      <c r="D578" s="55"/>
      <c r="E578" s="55"/>
      <c r="F578" s="55"/>
      <c r="H578" s="56"/>
    </row>
    <row r="579" ht="15.75" customHeight="1">
      <c r="C579" s="54"/>
      <c r="D579" s="55"/>
      <c r="E579" s="55"/>
      <c r="F579" s="55"/>
      <c r="H579" s="56"/>
    </row>
    <row r="580" ht="15.75" customHeight="1">
      <c r="C580" s="54"/>
      <c r="D580" s="55"/>
      <c r="E580" s="55"/>
      <c r="F580" s="55"/>
      <c r="H580" s="56"/>
    </row>
    <row r="581" ht="15.75" customHeight="1">
      <c r="C581" s="54"/>
      <c r="D581" s="55"/>
      <c r="E581" s="55"/>
      <c r="F581" s="55"/>
      <c r="H581" s="56"/>
    </row>
    <row r="582" ht="15.75" customHeight="1">
      <c r="C582" s="54"/>
      <c r="D582" s="55"/>
      <c r="E582" s="55"/>
      <c r="F582" s="55"/>
      <c r="H582" s="56"/>
    </row>
    <row r="583" ht="15.75" customHeight="1">
      <c r="C583" s="54"/>
      <c r="D583" s="55"/>
      <c r="E583" s="55"/>
      <c r="F583" s="55"/>
      <c r="H583" s="56"/>
    </row>
    <row r="584" ht="15.75" customHeight="1">
      <c r="C584" s="54"/>
      <c r="D584" s="55"/>
      <c r="E584" s="55"/>
      <c r="F584" s="55"/>
      <c r="H584" s="56"/>
    </row>
    <row r="585" ht="15.75" customHeight="1">
      <c r="C585" s="54"/>
      <c r="D585" s="55"/>
      <c r="E585" s="55"/>
      <c r="F585" s="55"/>
      <c r="H585" s="56"/>
    </row>
    <row r="586" ht="15.75" customHeight="1">
      <c r="C586" s="54"/>
      <c r="D586" s="55"/>
      <c r="E586" s="55"/>
      <c r="F586" s="55"/>
      <c r="H586" s="56"/>
    </row>
    <row r="587" ht="15.75" customHeight="1">
      <c r="C587" s="54"/>
      <c r="D587" s="55"/>
      <c r="E587" s="55"/>
      <c r="F587" s="55"/>
      <c r="H587" s="56"/>
    </row>
    <row r="588" ht="15.75" customHeight="1">
      <c r="C588" s="54"/>
      <c r="D588" s="55"/>
      <c r="E588" s="55"/>
      <c r="F588" s="55"/>
      <c r="H588" s="56"/>
    </row>
    <row r="589" ht="15.75" customHeight="1">
      <c r="C589" s="54"/>
      <c r="D589" s="55"/>
      <c r="E589" s="55"/>
      <c r="F589" s="55"/>
      <c r="H589" s="56"/>
    </row>
    <row r="590" ht="15.75" customHeight="1">
      <c r="C590" s="54"/>
      <c r="D590" s="55"/>
      <c r="E590" s="55"/>
      <c r="F590" s="55"/>
      <c r="H590" s="56"/>
    </row>
    <row r="591" ht="15.75" customHeight="1">
      <c r="C591" s="54"/>
      <c r="D591" s="55"/>
      <c r="E591" s="55"/>
      <c r="F591" s="55"/>
      <c r="H591" s="56"/>
    </row>
    <row r="592" ht="15.75" customHeight="1">
      <c r="C592" s="54"/>
      <c r="D592" s="55"/>
      <c r="E592" s="55"/>
      <c r="F592" s="55"/>
      <c r="H592" s="56"/>
    </row>
    <row r="593" ht="15.75" customHeight="1">
      <c r="C593" s="54"/>
      <c r="D593" s="55"/>
      <c r="E593" s="55"/>
      <c r="F593" s="55"/>
      <c r="H593" s="56"/>
    </row>
    <row r="594" ht="15.75" customHeight="1">
      <c r="C594" s="54"/>
      <c r="D594" s="55"/>
      <c r="E594" s="55"/>
      <c r="F594" s="55"/>
      <c r="H594" s="56"/>
    </row>
    <row r="595" ht="15.75" customHeight="1">
      <c r="C595" s="54"/>
      <c r="D595" s="55"/>
      <c r="E595" s="55"/>
      <c r="F595" s="55"/>
      <c r="H595" s="56"/>
    </row>
    <row r="596" ht="15.75" customHeight="1">
      <c r="C596" s="54"/>
      <c r="D596" s="55"/>
      <c r="E596" s="55"/>
      <c r="F596" s="55"/>
      <c r="H596" s="56"/>
    </row>
    <row r="597" ht="15.75" customHeight="1">
      <c r="C597" s="54"/>
      <c r="D597" s="55"/>
      <c r="E597" s="55"/>
      <c r="F597" s="55"/>
      <c r="H597" s="56"/>
    </row>
    <row r="598" ht="15.75" customHeight="1">
      <c r="C598" s="54"/>
      <c r="D598" s="55"/>
      <c r="E598" s="55"/>
      <c r="F598" s="55"/>
      <c r="H598" s="56"/>
    </row>
    <row r="599" ht="15.75" customHeight="1">
      <c r="C599" s="54"/>
      <c r="D599" s="55"/>
      <c r="E599" s="55"/>
      <c r="F599" s="55"/>
      <c r="H599" s="56"/>
    </row>
    <row r="600" ht="15.75" customHeight="1">
      <c r="C600" s="54"/>
      <c r="D600" s="55"/>
      <c r="E600" s="55"/>
      <c r="F600" s="55"/>
      <c r="H600" s="56"/>
    </row>
    <row r="601" ht="15.75" customHeight="1">
      <c r="C601" s="54"/>
      <c r="D601" s="55"/>
      <c r="E601" s="55"/>
      <c r="F601" s="55"/>
      <c r="H601" s="56"/>
    </row>
    <row r="602" ht="15.75" customHeight="1">
      <c r="C602" s="54"/>
      <c r="D602" s="55"/>
      <c r="E602" s="55"/>
      <c r="F602" s="55"/>
      <c r="H602" s="56"/>
    </row>
    <row r="603" ht="15.75" customHeight="1">
      <c r="C603" s="54"/>
      <c r="D603" s="55"/>
      <c r="E603" s="55"/>
      <c r="F603" s="55"/>
      <c r="H603" s="56"/>
    </row>
    <row r="604" ht="15.75" customHeight="1">
      <c r="C604" s="54"/>
      <c r="D604" s="55"/>
      <c r="E604" s="55"/>
      <c r="F604" s="55"/>
      <c r="H604" s="56"/>
    </row>
    <row r="605" ht="15.75" customHeight="1">
      <c r="C605" s="54"/>
      <c r="D605" s="55"/>
      <c r="E605" s="55"/>
      <c r="F605" s="55"/>
      <c r="H605" s="56"/>
    </row>
    <row r="606" ht="15.75" customHeight="1">
      <c r="C606" s="54"/>
      <c r="D606" s="55"/>
      <c r="E606" s="55"/>
      <c r="F606" s="55"/>
      <c r="H606" s="56"/>
    </row>
    <row r="607" ht="15.75" customHeight="1">
      <c r="C607" s="54"/>
      <c r="D607" s="55"/>
      <c r="E607" s="55"/>
      <c r="F607" s="55"/>
      <c r="H607" s="56"/>
    </row>
    <row r="608" ht="15.75" customHeight="1">
      <c r="C608" s="54"/>
      <c r="D608" s="55"/>
      <c r="E608" s="55"/>
      <c r="F608" s="55"/>
      <c r="H608" s="56"/>
    </row>
    <row r="609" ht="15.75" customHeight="1">
      <c r="C609" s="54"/>
      <c r="D609" s="55"/>
      <c r="E609" s="55"/>
      <c r="F609" s="55"/>
      <c r="H609" s="56"/>
    </row>
    <row r="610" ht="15.75" customHeight="1">
      <c r="C610" s="54"/>
      <c r="D610" s="55"/>
      <c r="E610" s="55"/>
      <c r="F610" s="55"/>
      <c r="H610" s="56"/>
    </row>
    <row r="611" ht="15.75" customHeight="1">
      <c r="C611" s="54"/>
      <c r="D611" s="55"/>
      <c r="E611" s="55"/>
      <c r="F611" s="55"/>
      <c r="H611" s="56"/>
    </row>
    <row r="612" ht="15.75" customHeight="1">
      <c r="C612" s="54"/>
      <c r="D612" s="55"/>
      <c r="E612" s="55"/>
      <c r="F612" s="55"/>
      <c r="H612" s="56"/>
    </row>
    <row r="613" ht="15.75" customHeight="1">
      <c r="C613" s="54"/>
      <c r="D613" s="55"/>
      <c r="E613" s="55"/>
      <c r="F613" s="55"/>
      <c r="H613" s="56"/>
    </row>
    <row r="614" ht="15.75" customHeight="1">
      <c r="C614" s="54"/>
      <c r="D614" s="55"/>
      <c r="E614" s="55"/>
      <c r="F614" s="55"/>
      <c r="H614" s="56"/>
    </row>
    <row r="615" ht="15.75" customHeight="1">
      <c r="C615" s="54"/>
      <c r="D615" s="55"/>
      <c r="E615" s="55"/>
      <c r="F615" s="55"/>
      <c r="H615" s="56"/>
    </row>
    <row r="616" ht="15.75" customHeight="1">
      <c r="C616" s="54"/>
      <c r="D616" s="55"/>
      <c r="E616" s="55"/>
      <c r="F616" s="55"/>
      <c r="H616" s="56"/>
    </row>
    <row r="617" ht="15.75" customHeight="1">
      <c r="C617" s="54"/>
      <c r="D617" s="55"/>
      <c r="E617" s="55"/>
      <c r="F617" s="55"/>
      <c r="H617" s="56"/>
    </row>
    <row r="618" ht="15.75" customHeight="1">
      <c r="C618" s="54"/>
      <c r="D618" s="55"/>
      <c r="E618" s="55"/>
      <c r="F618" s="55"/>
      <c r="H618" s="56"/>
    </row>
    <row r="619" ht="15.75" customHeight="1">
      <c r="C619" s="54"/>
      <c r="D619" s="55"/>
      <c r="E619" s="55"/>
      <c r="F619" s="55"/>
      <c r="H619" s="56"/>
    </row>
    <row r="620" ht="15.75" customHeight="1">
      <c r="C620" s="54"/>
      <c r="D620" s="55"/>
      <c r="E620" s="55"/>
      <c r="F620" s="55"/>
      <c r="H620" s="56"/>
    </row>
    <row r="621" ht="15.75" customHeight="1">
      <c r="C621" s="54"/>
      <c r="D621" s="55"/>
      <c r="E621" s="55"/>
      <c r="F621" s="55"/>
      <c r="H621" s="56"/>
    </row>
    <row r="622" ht="15.75" customHeight="1">
      <c r="C622" s="54"/>
      <c r="D622" s="55"/>
      <c r="E622" s="55"/>
      <c r="F622" s="55"/>
      <c r="H622" s="56"/>
    </row>
    <row r="623" ht="15.75" customHeight="1">
      <c r="C623" s="54"/>
      <c r="D623" s="55"/>
      <c r="E623" s="55"/>
      <c r="F623" s="55"/>
      <c r="H623" s="56"/>
    </row>
    <row r="624" ht="15.75" customHeight="1">
      <c r="C624" s="54"/>
      <c r="D624" s="55"/>
      <c r="E624" s="55"/>
      <c r="F624" s="55"/>
      <c r="H624" s="56"/>
    </row>
    <row r="625" ht="15.75" customHeight="1">
      <c r="C625" s="54"/>
      <c r="D625" s="55"/>
      <c r="E625" s="55"/>
      <c r="F625" s="55"/>
      <c r="H625" s="56"/>
    </row>
    <row r="626" ht="15.75" customHeight="1">
      <c r="C626" s="54"/>
      <c r="D626" s="55"/>
      <c r="E626" s="55"/>
      <c r="F626" s="55"/>
      <c r="H626" s="56"/>
    </row>
    <row r="627" ht="15.75" customHeight="1">
      <c r="C627" s="54"/>
      <c r="D627" s="55"/>
      <c r="E627" s="55"/>
      <c r="F627" s="55"/>
      <c r="H627" s="56"/>
    </row>
    <row r="628" ht="15.75" customHeight="1">
      <c r="C628" s="54"/>
      <c r="D628" s="55"/>
      <c r="E628" s="55"/>
      <c r="F628" s="55"/>
      <c r="H628" s="56"/>
    </row>
    <row r="629" ht="15.75" customHeight="1">
      <c r="C629" s="54"/>
      <c r="D629" s="55"/>
      <c r="E629" s="55"/>
      <c r="F629" s="55"/>
      <c r="H629" s="56"/>
    </row>
    <row r="630" ht="15.75" customHeight="1">
      <c r="C630" s="54"/>
      <c r="D630" s="55"/>
      <c r="E630" s="55"/>
      <c r="F630" s="55"/>
      <c r="H630" s="56"/>
    </row>
    <row r="631" ht="15.75" customHeight="1">
      <c r="C631" s="54"/>
      <c r="D631" s="55"/>
      <c r="E631" s="55"/>
      <c r="F631" s="55"/>
      <c r="H631" s="56"/>
    </row>
    <row r="632" ht="15.75" customHeight="1">
      <c r="C632" s="54"/>
      <c r="D632" s="55"/>
      <c r="E632" s="55"/>
      <c r="F632" s="55"/>
      <c r="H632" s="56"/>
    </row>
    <row r="633" ht="15.75" customHeight="1">
      <c r="C633" s="54"/>
      <c r="D633" s="55"/>
      <c r="E633" s="55"/>
      <c r="F633" s="55"/>
      <c r="H633" s="56"/>
    </row>
    <row r="634" ht="15.75" customHeight="1">
      <c r="C634" s="54"/>
      <c r="D634" s="55"/>
      <c r="E634" s="55"/>
      <c r="F634" s="55"/>
      <c r="H634" s="56"/>
    </row>
    <row r="635" ht="15.75" customHeight="1">
      <c r="C635" s="54"/>
      <c r="D635" s="55"/>
      <c r="E635" s="55"/>
      <c r="F635" s="55"/>
      <c r="H635" s="56"/>
    </row>
    <row r="636" ht="15.75" customHeight="1">
      <c r="C636" s="54"/>
      <c r="D636" s="55"/>
      <c r="E636" s="55"/>
      <c r="F636" s="55"/>
      <c r="H636" s="56"/>
    </row>
    <row r="637" ht="15.75" customHeight="1">
      <c r="C637" s="54"/>
      <c r="D637" s="55"/>
      <c r="E637" s="55"/>
      <c r="F637" s="55"/>
      <c r="H637" s="56"/>
    </row>
    <row r="638" ht="15.75" customHeight="1">
      <c r="C638" s="54"/>
      <c r="D638" s="55"/>
      <c r="E638" s="55"/>
      <c r="F638" s="55"/>
      <c r="H638" s="56"/>
    </row>
    <row r="639" ht="15.75" customHeight="1">
      <c r="C639" s="54"/>
      <c r="D639" s="55"/>
      <c r="E639" s="55"/>
      <c r="F639" s="55"/>
      <c r="H639" s="56"/>
    </row>
    <row r="640" ht="15.75" customHeight="1">
      <c r="C640" s="54"/>
      <c r="D640" s="55"/>
      <c r="E640" s="55"/>
      <c r="F640" s="55"/>
      <c r="H640" s="56"/>
    </row>
    <row r="641" ht="15.75" customHeight="1">
      <c r="C641" s="54"/>
      <c r="D641" s="55"/>
      <c r="E641" s="55"/>
      <c r="F641" s="55"/>
      <c r="H641" s="56"/>
    </row>
    <row r="642" ht="15.75" customHeight="1">
      <c r="C642" s="54"/>
      <c r="D642" s="55"/>
      <c r="E642" s="55"/>
      <c r="F642" s="55"/>
      <c r="H642" s="56"/>
    </row>
    <row r="643" ht="15.75" customHeight="1">
      <c r="C643" s="54"/>
      <c r="D643" s="55"/>
      <c r="E643" s="55"/>
      <c r="F643" s="55"/>
      <c r="H643" s="56"/>
    </row>
    <row r="644" ht="15.75" customHeight="1">
      <c r="C644" s="54"/>
      <c r="D644" s="55"/>
      <c r="E644" s="55"/>
      <c r="F644" s="55"/>
      <c r="H644" s="56"/>
    </row>
    <row r="645" ht="15.75" customHeight="1">
      <c r="C645" s="54"/>
      <c r="D645" s="55"/>
      <c r="E645" s="55"/>
      <c r="F645" s="55"/>
      <c r="H645" s="56"/>
    </row>
    <row r="646" ht="15.75" customHeight="1">
      <c r="C646" s="54"/>
      <c r="D646" s="55"/>
      <c r="E646" s="55"/>
      <c r="F646" s="55"/>
      <c r="H646" s="56"/>
    </row>
    <row r="647" ht="15.75" customHeight="1">
      <c r="C647" s="54"/>
      <c r="D647" s="55"/>
      <c r="E647" s="55"/>
      <c r="F647" s="55"/>
      <c r="H647" s="56"/>
    </row>
    <row r="648" ht="15.75" customHeight="1">
      <c r="C648" s="54"/>
      <c r="D648" s="55"/>
      <c r="E648" s="55"/>
      <c r="F648" s="55"/>
      <c r="H648" s="56"/>
    </row>
    <row r="649" ht="15.75" customHeight="1">
      <c r="C649" s="54"/>
      <c r="D649" s="55"/>
      <c r="E649" s="55"/>
      <c r="F649" s="55"/>
      <c r="H649" s="56"/>
    </row>
    <row r="650" ht="15.75" customHeight="1">
      <c r="C650" s="54"/>
      <c r="D650" s="55"/>
      <c r="E650" s="55"/>
      <c r="F650" s="55"/>
      <c r="H650" s="56"/>
    </row>
    <row r="651" ht="15.75" customHeight="1">
      <c r="C651" s="54"/>
      <c r="D651" s="55"/>
      <c r="E651" s="55"/>
      <c r="F651" s="55"/>
      <c r="H651" s="56"/>
    </row>
    <row r="652" ht="15.75" customHeight="1">
      <c r="C652" s="54"/>
      <c r="D652" s="55"/>
      <c r="E652" s="55"/>
      <c r="F652" s="55"/>
      <c r="H652" s="56"/>
    </row>
    <row r="653" ht="15.75" customHeight="1">
      <c r="C653" s="54"/>
      <c r="D653" s="55"/>
      <c r="E653" s="55"/>
      <c r="F653" s="55"/>
      <c r="H653" s="56"/>
    </row>
    <row r="654" ht="15.75" customHeight="1">
      <c r="C654" s="54"/>
      <c r="D654" s="55"/>
      <c r="E654" s="55"/>
      <c r="F654" s="55"/>
      <c r="H654" s="56"/>
    </row>
    <row r="655" ht="15.75" customHeight="1">
      <c r="C655" s="54"/>
      <c r="D655" s="55"/>
      <c r="E655" s="55"/>
      <c r="F655" s="55"/>
      <c r="H655" s="56"/>
    </row>
    <row r="656" ht="15.75" customHeight="1">
      <c r="C656" s="54"/>
      <c r="D656" s="55"/>
      <c r="E656" s="55"/>
      <c r="F656" s="55"/>
      <c r="H656" s="56"/>
    </row>
    <row r="657" ht="15.75" customHeight="1">
      <c r="C657" s="54"/>
      <c r="D657" s="55"/>
      <c r="E657" s="55"/>
      <c r="F657" s="55"/>
      <c r="H657" s="56"/>
    </row>
    <row r="658" ht="15.75" customHeight="1">
      <c r="C658" s="54"/>
      <c r="D658" s="55"/>
      <c r="E658" s="55"/>
      <c r="F658" s="55"/>
      <c r="H658" s="56"/>
    </row>
    <row r="659" ht="15.75" customHeight="1">
      <c r="C659" s="54"/>
      <c r="D659" s="55"/>
      <c r="E659" s="55"/>
      <c r="F659" s="55"/>
      <c r="H659" s="56"/>
    </row>
    <row r="660" ht="15.75" customHeight="1">
      <c r="C660" s="54"/>
      <c r="D660" s="55"/>
      <c r="E660" s="55"/>
      <c r="F660" s="55"/>
      <c r="H660" s="56"/>
    </row>
    <row r="661" ht="15.75" customHeight="1">
      <c r="C661" s="54"/>
      <c r="D661" s="55"/>
      <c r="E661" s="55"/>
      <c r="F661" s="55"/>
      <c r="H661" s="56"/>
    </row>
    <row r="662" ht="15.75" customHeight="1">
      <c r="C662" s="54"/>
      <c r="D662" s="55"/>
      <c r="E662" s="55"/>
      <c r="F662" s="55"/>
      <c r="H662" s="56"/>
    </row>
    <row r="663" ht="15.75" customHeight="1">
      <c r="C663" s="54"/>
      <c r="D663" s="55"/>
      <c r="E663" s="55"/>
      <c r="F663" s="55"/>
      <c r="H663" s="56"/>
    </row>
    <row r="664" ht="15.75" customHeight="1">
      <c r="C664" s="54"/>
      <c r="D664" s="55"/>
      <c r="E664" s="55"/>
      <c r="F664" s="55"/>
      <c r="H664" s="56"/>
    </row>
    <row r="665" ht="15.75" customHeight="1">
      <c r="C665" s="54"/>
      <c r="D665" s="55"/>
      <c r="E665" s="55"/>
      <c r="F665" s="55"/>
      <c r="H665" s="56"/>
    </row>
    <row r="666" ht="15.75" customHeight="1">
      <c r="C666" s="54"/>
      <c r="D666" s="55"/>
      <c r="E666" s="55"/>
      <c r="F666" s="55"/>
      <c r="H666" s="56"/>
    </row>
    <row r="667" ht="15.75" customHeight="1">
      <c r="C667" s="54"/>
      <c r="D667" s="55"/>
      <c r="E667" s="55"/>
      <c r="F667" s="55"/>
      <c r="H667" s="56"/>
    </row>
    <row r="668" ht="15.75" customHeight="1">
      <c r="C668" s="54"/>
      <c r="D668" s="55"/>
      <c r="E668" s="55"/>
      <c r="F668" s="55"/>
      <c r="H668" s="56"/>
    </row>
    <row r="669" ht="15.75" customHeight="1">
      <c r="C669" s="54"/>
      <c r="D669" s="55"/>
      <c r="E669" s="55"/>
      <c r="F669" s="55"/>
      <c r="H669" s="56"/>
    </row>
    <row r="670" ht="15.75" customHeight="1">
      <c r="C670" s="54"/>
      <c r="D670" s="55"/>
      <c r="E670" s="55"/>
      <c r="F670" s="55"/>
      <c r="H670" s="56"/>
    </row>
    <row r="671" ht="15.75" customHeight="1">
      <c r="C671" s="54"/>
      <c r="D671" s="55"/>
      <c r="E671" s="55"/>
      <c r="F671" s="55"/>
      <c r="H671" s="56"/>
    </row>
    <row r="672" ht="15.75" customHeight="1">
      <c r="C672" s="54"/>
      <c r="D672" s="55"/>
      <c r="E672" s="55"/>
      <c r="F672" s="55"/>
      <c r="H672" s="56"/>
    </row>
    <row r="673" ht="15.75" customHeight="1">
      <c r="C673" s="54"/>
      <c r="D673" s="55"/>
      <c r="E673" s="55"/>
      <c r="F673" s="55"/>
      <c r="H673" s="56"/>
    </row>
    <row r="674" ht="15.75" customHeight="1">
      <c r="C674" s="54"/>
      <c r="D674" s="55"/>
      <c r="E674" s="55"/>
      <c r="F674" s="55"/>
      <c r="H674" s="56"/>
    </row>
    <row r="675" ht="15.75" customHeight="1">
      <c r="C675" s="54"/>
      <c r="D675" s="55"/>
      <c r="E675" s="55"/>
      <c r="F675" s="55"/>
      <c r="H675" s="56"/>
    </row>
    <row r="676" ht="15.75" customHeight="1">
      <c r="C676" s="54"/>
      <c r="D676" s="55"/>
      <c r="E676" s="55"/>
      <c r="F676" s="55"/>
      <c r="H676" s="56"/>
    </row>
    <row r="677" ht="15.75" customHeight="1">
      <c r="C677" s="54"/>
      <c r="D677" s="55"/>
      <c r="E677" s="55"/>
      <c r="F677" s="55"/>
      <c r="H677" s="56"/>
    </row>
    <row r="678" ht="15.75" customHeight="1">
      <c r="C678" s="54"/>
      <c r="D678" s="55"/>
      <c r="E678" s="55"/>
      <c r="F678" s="55"/>
      <c r="H678" s="56"/>
    </row>
    <row r="679" ht="15.75" customHeight="1">
      <c r="C679" s="54"/>
      <c r="D679" s="55"/>
      <c r="E679" s="55"/>
      <c r="F679" s="55"/>
      <c r="H679" s="56"/>
    </row>
    <row r="680" ht="15.75" customHeight="1">
      <c r="C680" s="54"/>
      <c r="D680" s="55"/>
      <c r="E680" s="55"/>
      <c r="F680" s="55"/>
      <c r="H680" s="56"/>
    </row>
    <row r="681" ht="15.75" customHeight="1">
      <c r="C681" s="54"/>
      <c r="D681" s="55"/>
      <c r="E681" s="55"/>
      <c r="F681" s="55"/>
      <c r="H681" s="56"/>
    </row>
    <row r="682" ht="15.75" customHeight="1">
      <c r="C682" s="54"/>
      <c r="D682" s="55"/>
      <c r="E682" s="55"/>
      <c r="F682" s="55"/>
      <c r="H682" s="56"/>
    </row>
    <row r="683" ht="15.75" customHeight="1">
      <c r="C683" s="54"/>
      <c r="D683" s="55"/>
      <c r="E683" s="55"/>
      <c r="F683" s="55"/>
      <c r="H683" s="56"/>
    </row>
    <row r="684" ht="15.75" customHeight="1">
      <c r="C684" s="54"/>
      <c r="D684" s="55"/>
      <c r="E684" s="55"/>
      <c r="F684" s="55"/>
      <c r="H684" s="56"/>
    </row>
    <row r="685" ht="15.75" customHeight="1">
      <c r="C685" s="54"/>
      <c r="D685" s="55"/>
      <c r="E685" s="55"/>
      <c r="F685" s="55"/>
      <c r="H685" s="56"/>
    </row>
    <row r="686" ht="15.75" customHeight="1">
      <c r="C686" s="54"/>
      <c r="D686" s="55"/>
      <c r="E686" s="55"/>
      <c r="F686" s="55"/>
      <c r="H686" s="56"/>
    </row>
    <row r="687" ht="15.75" customHeight="1">
      <c r="C687" s="54"/>
      <c r="D687" s="55"/>
      <c r="E687" s="55"/>
      <c r="F687" s="55"/>
      <c r="H687" s="56"/>
    </row>
    <row r="688" ht="15.75" customHeight="1">
      <c r="C688" s="54"/>
      <c r="D688" s="55"/>
      <c r="E688" s="55"/>
      <c r="F688" s="55"/>
      <c r="H688" s="56"/>
    </row>
    <row r="689" ht="15.75" customHeight="1">
      <c r="C689" s="54"/>
      <c r="D689" s="55"/>
      <c r="E689" s="55"/>
      <c r="F689" s="55"/>
      <c r="H689" s="56"/>
    </row>
    <row r="690" ht="15.75" customHeight="1">
      <c r="C690" s="54"/>
      <c r="D690" s="55"/>
      <c r="E690" s="55"/>
      <c r="F690" s="55"/>
      <c r="H690" s="56"/>
    </row>
    <row r="691" ht="15.75" customHeight="1">
      <c r="C691" s="54"/>
      <c r="D691" s="55"/>
      <c r="E691" s="55"/>
      <c r="F691" s="55"/>
      <c r="H691" s="56"/>
    </row>
    <row r="692" ht="15.75" customHeight="1">
      <c r="C692" s="54"/>
      <c r="D692" s="55"/>
      <c r="E692" s="55"/>
      <c r="F692" s="55"/>
      <c r="H692" s="56"/>
    </row>
    <row r="693" ht="15.75" customHeight="1">
      <c r="C693" s="54"/>
      <c r="D693" s="55"/>
      <c r="E693" s="55"/>
      <c r="F693" s="55"/>
      <c r="H693" s="56"/>
    </row>
    <row r="694" ht="15.75" customHeight="1">
      <c r="C694" s="54"/>
      <c r="D694" s="55"/>
      <c r="E694" s="55"/>
      <c r="F694" s="55"/>
      <c r="H694" s="56"/>
    </row>
    <row r="695" ht="15.75" customHeight="1">
      <c r="C695" s="54"/>
      <c r="D695" s="55"/>
      <c r="E695" s="55"/>
      <c r="F695" s="55"/>
      <c r="H695" s="56"/>
    </row>
    <row r="696" ht="15.75" customHeight="1">
      <c r="C696" s="54"/>
      <c r="D696" s="55"/>
      <c r="E696" s="55"/>
      <c r="F696" s="55"/>
      <c r="H696" s="56"/>
    </row>
    <row r="697" ht="15.75" customHeight="1">
      <c r="C697" s="54"/>
      <c r="D697" s="55"/>
      <c r="E697" s="55"/>
      <c r="F697" s="55"/>
      <c r="H697" s="56"/>
    </row>
    <row r="698" ht="15.75" customHeight="1">
      <c r="C698" s="54"/>
      <c r="D698" s="55"/>
      <c r="E698" s="55"/>
      <c r="F698" s="55"/>
      <c r="H698" s="56"/>
    </row>
    <row r="699" ht="15.75" customHeight="1">
      <c r="C699" s="54"/>
      <c r="D699" s="55"/>
      <c r="E699" s="55"/>
      <c r="F699" s="55"/>
      <c r="H699" s="56"/>
    </row>
    <row r="700" ht="15.75" customHeight="1">
      <c r="C700" s="54"/>
      <c r="D700" s="55"/>
      <c r="E700" s="55"/>
      <c r="F700" s="55"/>
      <c r="H700" s="56"/>
    </row>
    <row r="701" ht="15.75" customHeight="1">
      <c r="C701" s="54"/>
      <c r="D701" s="55"/>
      <c r="E701" s="55"/>
      <c r="F701" s="55"/>
      <c r="H701" s="56"/>
    </row>
    <row r="702" ht="15.75" customHeight="1">
      <c r="C702" s="54"/>
      <c r="D702" s="55"/>
      <c r="E702" s="55"/>
      <c r="F702" s="55"/>
      <c r="H702" s="56"/>
    </row>
    <row r="703" ht="15.75" customHeight="1">
      <c r="C703" s="54"/>
      <c r="D703" s="55"/>
      <c r="E703" s="55"/>
      <c r="F703" s="55"/>
      <c r="H703" s="56"/>
    </row>
    <row r="704" ht="15.75" customHeight="1">
      <c r="C704" s="54"/>
      <c r="D704" s="55"/>
      <c r="E704" s="55"/>
      <c r="F704" s="55"/>
      <c r="H704" s="56"/>
    </row>
    <row r="705" ht="15.75" customHeight="1">
      <c r="C705" s="54"/>
      <c r="D705" s="55"/>
      <c r="E705" s="55"/>
      <c r="F705" s="55"/>
      <c r="H705" s="56"/>
    </row>
    <row r="706" ht="15.75" customHeight="1">
      <c r="C706" s="54"/>
      <c r="D706" s="55"/>
      <c r="E706" s="55"/>
      <c r="F706" s="55"/>
      <c r="H706" s="56"/>
    </row>
    <row r="707" ht="15.75" customHeight="1">
      <c r="C707" s="54"/>
      <c r="D707" s="55"/>
      <c r="E707" s="55"/>
      <c r="F707" s="55"/>
      <c r="H707" s="56"/>
    </row>
    <row r="708" ht="15.75" customHeight="1">
      <c r="C708" s="54"/>
      <c r="D708" s="55"/>
      <c r="E708" s="55"/>
      <c r="F708" s="55"/>
      <c r="H708" s="56"/>
    </row>
    <row r="709" ht="15.75" customHeight="1">
      <c r="C709" s="54"/>
      <c r="D709" s="55"/>
      <c r="E709" s="55"/>
      <c r="F709" s="55"/>
      <c r="H709" s="56"/>
    </row>
    <row r="710" ht="15.75" customHeight="1">
      <c r="C710" s="54"/>
      <c r="D710" s="55"/>
      <c r="E710" s="55"/>
      <c r="F710" s="55"/>
      <c r="H710" s="56"/>
    </row>
    <row r="711" ht="15.75" customHeight="1">
      <c r="C711" s="54"/>
      <c r="D711" s="55"/>
      <c r="E711" s="55"/>
      <c r="F711" s="55"/>
      <c r="H711" s="56"/>
    </row>
    <row r="712" ht="15.75" customHeight="1">
      <c r="C712" s="54"/>
      <c r="D712" s="55"/>
      <c r="E712" s="55"/>
      <c r="F712" s="55"/>
      <c r="H712" s="56"/>
    </row>
    <row r="713" ht="15.75" customHeight="1">
      <c r="C713" s="54"/>
      <c r="D713" s="55"/>
      <c r="E713" s="55"/>
      <c r="F713" s="55"/>
      <c r="H713" s="56"/>
    </row>
    <row r="714" ht="15.75" customHeight="1">
      <c r="C714" s="54"/>
      <c r="D714" s="55"/>
      <c r="E714" s="55"/>
      <c r="F714" s="55"/>
      <c r="H714" s="56"/>
    </row>
    <row r="715" ht="15.75" customHeight="1">
      <c r="C715" s="54"/>
      <c r="D715" s="55"/>
      <c r="E715" s="55"/>
      <c r="F715" s="55"/>
      <c r="H715" s="56"/>
    </row>
    <row r="716" ht="15.75" customHeight="1">
      <c r="C716" s="54"/>
      <c r="D716" s="55"/>
      <c r="E716" s="55"/>
      <c r="F716" s="55"/>
      <c r="H716" s="56"/>
    </row>
    <row r="717" ht="15.75" customHeight="1">
      <c r="C717" s="54"/>
      <c r="D717" s="55"/>
      <c r="E717" s="55"/>
      <c r="F717" s="55"/>
      <c r="H717" s="56"/>
    </row>
    <row r="718" ht="15.75" customHeight="1">
      <c r="C718" s="54"/>
      <c r="D718" s="55"/>
      <c r="E718" s="55"/>
      <c r="F718" s="55"/>
      <c r="H718" s="56"/>
    </row>
    <row r="719" ht="15.75" customHeight="1">
      <c r="C719" s="54"/>
      <c r="D719" s="55"/>
      <c r="E719" s="55"/>
      <c r="F719" s="55"/>
      <c r="H719" s="56"/>
    </row>
    <row r="720" ht="15.75" customHeight="1">
      <c r="C720" s="54"/>
      <c r="D720" s="55"/>
      <c r="E720" s="55"/>
      <c r="F720" s="55"/>
      <c r="H720" s="56"/>
    </row>
    <row r="721" ht="15.75" customHeight="1">
      <c r="C721" s="54"/>
      <c r="D721" s="55"/>
      <c r="E721" s="55"/>
      <c r="F721" s="55"/>
      <c r="H721" s="56"/>
    </row>
    <row r="722" ht="15.75" customHeight="1">
      <c r="C722" s="54"/>
      <c r="D722" s="55"/>
      <c r="E722" s="55"/>
      <c r="F722" s="55"/>
      <c r="H722" s="56"/>
    </row>
    <row r="723" ht="15.75" customHeight="1">
      <c r="C723" s="54"/>
      <c r="D723" s="55"/>
      <c r="E723" s="55"/>
      <c r="F723" s="55"/>
      <c r="H723" s="56"/>
    </row>
    <row r="724" ht="15.75" customHeight="1">
      <c r="C724" s="54"/>
      <c r="D724" s="55"/>
      <c r="E724" s="55"/>
      <c r="F724" s="55"/>
      <c r="H724" s="56"/>
    </row>
    <row r="725" ht="15.75" customHeight="1">
      <c r="C725" s="54"/>
      <c r="D725" s="55"/>
      <c r="E725" s="55"/>
      <c r="F725" s="55"/>
      <c r="H725" s="56"/>
    </row>
    <row r="726" ht="15.75" customHeight="1">
      <c r="C726" s="54"/>
      <c r="D726" s="55"/>
      <c r="E726" s="55"/>
      <c r="F726" s="55"/>
      <c r="H726" s="56"/>
    </row>
    <row r="727" ht="15.75" customHeight="1">
      <c r="C727" s="54"/>
      <c r="D727" s="55"/>
      <c r="E727" s="55"/>
      <c r="F727" s="55"/>
      <c r="H727" s="56"/>
    </row>
    <row r="728" ht="15.75" customHeight="1">
      <c r="C728" s="54"/>
      <c r="D728" s="55"/>
      <c r="E728" s="55"/>
      <c r="F728" s="55"/>
      <c r="H728" s="56"/>
    </row>
    <row r="729" ht="15.75" customHeight="1">
      <c r="C729" s="54"/>
      <c r="D729" s="55"/>
      <c r="E729" s="55"/>
      <c r="F729" s="55"/>
      <c r="H729" s="56"/>
    </row>
    <row r="730" ht="15.75" customHeight="1">
      <c r="C730" s="54"/>
      <c r="D730" s="55"/>
      <c r="E730" s="55"/>
      <c r="F730" s="55"/>
      <c r="H730" s="56"/>
    </row>
    <row r="731" ht="15.75" customHeight="1">
      <c r="C731" s="54"/>
      <c r="D731" s="55"/>
      <c r="E731" s="55"/>
      <c r="F731" s="55"/>
      <c r="H731" s="56"/>
    </row>
    <row r="732" ht="15.75" customHeight="1">
      <c r="C732" s="54"/>
      <c r="D732" s="55"/>
      <c r="E732" s="55"/>
      <c r="F732" s="55"/>
      <c r="H732" s="56"/>
    </row>
    <row r="733" ht="15.75" customHeight="1">
      <c r="C733" s="54"/>
      <c r="D733" s="55"/>
      <c r="E733" s="55"/>
      <c r="F733" s="55"/>
      <c r="H733" s="56"/>
    </row>
    <row r="734" ht="15.75" customHeight="1">
      <c r="C734" s="54"/>
      <c r="D734" s="55"/>
      <c r="E734" s="55"/>
      <c r="F734" s="55"/>
      <c r="H734" s="56"/>
    </row>
    <row r="735" ht="15.75" customHeight="1">
      <c r="C735" s="54"/>
      <c r="D735" s="55"/>
      <c r="E735" s="55"/>
      <c r="F735" s="55"/>
      <c r="H735" s="56"/>
    </row>
    <row r="736" ht="15.75" customHeight="1">
      <c r="C736" s="54"/>
      <c r="D736" s="55"/>
      <c r="E736" s="55"/>
      <c r="F736" s="55"/>
      <c r="H736" s="56"/>
    </row>
    <row r="737" ht="15.75" customHeight="1">
      <c r="C737" s="54"/>
      <c r="D737" s="55"/>
      <c r="E737" s="55"/>
      <c r="F737" s="55"/>
      <c r="H737" s="56"/>
    </row>
    <row r="738" ht="15.75" customHeight="1">
      <c r="C738" s="54"/>
      <c r="D738" s="55"/>
      <c r="E738" s="55"/>
      <c r="F738" s="55"/>
      <c r="H738" s="56"/>
    </row>
    <row r="739" ht="15.75" customHeight="1">
      <c r="C739" s="54"/>
      <c r="D739" s="55"/>
      <c r="E739" s="55"/>
      <c r="F739" s="55"/>
      <c r="H739" s="56"/>
    </row>
    <row r="740" ht="15.75" customHeight="1">
      <c r="C740" s="54"/>
      <c r="D740" s="55"/>
      <c r="E740" s="55"/>
      <c r="F740" s="55"/>
      <c r="H740" s="56"/>
    </row>
    <row r="741" ht="15.75" customHeight="1">
      <c r="C741" s="54"/>
      <c r="D741" s="55"/>
      <c r="E741" s="55"/>
      <c r="F741" s="55"/>
      <c r="H741" s="56"/>
    </row>
    <row r="742" ht="15.75" customHeight="1">
      <c r="C742" s="54"/>
      <c r="D742" s="55"/>
      <c r="E742" s="55"/>
      <c r="F742" s="55"/>
      <c r="H742" s="56"/>
    </row>
    <row r="743" ht="15.75" customHeight="1">
      <c r="C743" s="54"/>
      <c r="D743" s="55"/>
      <c r="E743" s="55"/>
      <c r="F743" s="55"/>
      <c r="H743" s="56"/>
    </row>
    <row r="744" ht="15.75" customHeight="1">
      <c r="C744" s="54"/>
      <c r="D744" s="55"/>
      <c r="E744" s="55"/>
      <c r="F744" s="55"/>
      <c r="H744" s="56"/>
    </row>
    <row r="745" ht="15.75" customHeight="1">
      <c r="C745" s="54"/>
      <c r="D745" s="55"/>
      <c r="E745" s="55"/>
      <c r="F745" s="55"/>
      <c r="H745" s="56"/>
    </row>
    <row r="746" ht="15.75" customHeight="1">
      <c r="C746" s="54"/>
      <c r="D746" s="55"/>
      <c r="E746" s="55"/>
      <c r="F746" s="55"/>
      <c r="H746" s="56"/>
    </row>
    <row r="747" ht="15.75" customHeight="1">
      <c r="C747" s="54"/>
      <c r="D747" s="55"/>
      <c r="E747" s="55"/>
      <c r="F747" s="55"/>
      <c r="H747" s="56"/>
    </row>
    <row r="748" ht="15.75" customHeight="1">
      <c r="C748" s="54"/>
      <c r="D748" s="55"/>
      <c r="E748" s="55"/>
      <c r="F748" s="55"/>
      <c r="H748" s="56"/>
    </row>
    <row r="749" ht="15.75" customHeight="1">
      <c r="C749" s="54"/>
      <c r="D749" s="55"/>
      <c r="E749" s="55"/>
      <c r="F749" s="55"/>
      <c r="H749" s="56"/>
    </row>
    <row r="750" ht="15.75" customHeight="1">
      <c r="C750" s="54"/>
      <c r="D750" s="55"/>
      <c r="E750" s="55"/>
      <c r="F750" s="55"/>
      <c r="H750" s="56"/>
    </row>
    <row r="751" ht="15.75" customHeight="1">
      <c r="C751" s="54"/>
      <c r="D751" s="55"/>
      <c r="E751" s="55"/>
      <c r="F751" s="55"/>
      <c r="H751" s="56"/>
    </row>
    <row r="752" ht="15.75" customHeight="1">
      <c r="C752" s="54"/>
      <c r="D752" s="55"/>
      <c r="E752" s="55"/>
      <c r="F752" s="55"/>
      <c r="H752" s="56"/>
    </row>
    <row r="753" ht="15.75" customHeight="1">
      <c r="C753" s="54"/>
      <c r="D753" s="55"/>
      <c r="E753" s="55"/>
      <c r="F753" s="55"/>
      <c r="H753" s="56"/>
    </row>
    <row r="754" ht="15.75" customHeight="1">
      <c r="C754" s="54"/>
      <c r="D754" s="55"/>
      <c r="E754" s="55"/>
      <c r="F754" s="55"/>
      <c r="H754" s="56"/>
    </row>
    <row r="755" ht="15.75" customHeight="1">
      <c r="C755" s="54"/>
      <c r="D755" s="55"/>
      <c r="E755" s="55"/>
      <c r="F755" s="55"/>
      <c r="H755" s="56"/>
    </row>
    <row r="756" ht="15.75" customHeight="1">
      <c r="C756" s="54"/>
      <c r="D756" s="55"/>
      <c r="E756" s="55"/>
      <c r="F756" s="55"/>
      <c r="H756" s="56"/>
    </row>
    <row r="757" ht="15.75" customHeight="1">
      <c r="C757" s="54"/>
      <c r="D757" s="55"/>
      <c r="E757" s="55"/>
      <c r="F757" s="55"/>
      <c r="H757" s="56"/>
    </row>
    <row r="758" ht="15.75" customHeight="1">
      <c r="C758" s="54"/>
      <c r="D758" s="55"/>
      <c r="E758" s="55"/>
      <c r="F758" s="55"/>
      <c r="H758" s="56"/>
    </row>
    <row r="759" ht="15.75" customHeight="1">
      <c r="C759" s="54"/>
      <c r="D759" s="55"/>
      <c r="E759" s="55"/>
      <c r="F759" s="55"/>
      <c r="H759" s="56"/>
    </row>
    <row r="760" ht="15.75" customHeight="1">
      <c r="C760" s="54"/>
      <c r="D760" s="55"/>
      <c r="E760" s="55"/>
      <c r="F760" s="55"/>
      <c r="H760" s="56"/>
    </row>
    <row r="761" ht="15.75" customHeight="1">
      <c r="C761" s="54"/>
      <c r="D761" s="55"/>
      <c r="E761" s="55"/>
      <c r="F761" s="55"/>
      <c r="H761" s="56"/>
    </row>
    <row r="762" ht="15.75" customHeight="1">
      <c r="C762" s="54"/>
      <c r="D762" s="55"/>
      <c r="E762" s="55"/>
      <c r="F762" s="55"/>
      <c r="H762" s="56"/>
    </row>
    <row r="763" ht="15.75" customHeight="1">
      <c r="C763" s="54"/>
      <c r="D763" s="55"/>
      <c r="E763" s="55"/>
      <c r="F763" s="55"/>
      <c r="H763" s="56"/>
    </row>
    <row r="764" ht="15.75" customHeight="1">
      <c r="C764" s="54"/>
      <c r="D764" s="55"/>
      <c r="E764" s="55"/>
      <c r="F764" s="55"/>
      <c r="H764" s="56"/>
    </row>
    <row r="765" ht="15.75" customHeight="1">
      <c r="C765" s="54"/>
      <c r="D765" s="55"/>
      <c r="E765" s="55"/>
      <c r="F765" s="55"/>
      <c r="H765" s="56"/>
    </row>
    <row r="766" ht="15.75" customHeight="1">
      <c r="C766" s="54"/>
      <c r="D766" s="55"/>
      <c r="E766" s="55"/>
      <c r="F766" s="55"/>
      <c r="H766" s="56"/>
    </row>
    <row r="767" ht="15.75" customHeight="1">
      <c r="C767" s="54"/>
      <c r="D767" s="55"/>
      <c r="E767" s="55"/>
      <c r="F767" s="55"/>
      <c r="H767" s="56"/>
    </row>
    <row r="768" ht="15.75" customHeight="1">
      <c r="C768" s="54"/>
      <c r="D768" s="55"/>
      <c r="E768" s="55"/>
      <c r="F768" s="55"/>
      <c r="H768" s="56"/>
    </row>
    <row r="769" ht="15.75" customHeight="1">
      <c r="C769" s="54"/>
      <c r="D769" s="55"/>
      <c r="E769" s="55"/>
      <c r="F769" s="55"/>
      <c r="H769" s="56"/>
    </row>
    <row r="770" ht="15.75" customHeight="1">
      <c r="C770" s="54"/>
      <c r="D770" s="55"/>
      <c r="E770" s="55"/>
      <c r="F770" s="55"/>
      <c r="H770" s="56"/>
    </row>
    <row r="771" ht="15.75" customHeight="1">
      <c r="C771" s="54"/>
      <c r="D771" s="55"/>
      <c r="E771" s="55"/>
      <c r="F771" s="55"/>
      <c r="H771" s="56"/>
    </row>
    <row r="772" ht="15.75" customHeight="1">
      <c r="C772" s="54"/>
      <c r="D772" s="55"/>
      <c r="E772" s="55"/>
      <c r="F772" s="55"/>
      <c r="H772" s="56"/>
    </row>
    <row r="773" ht="15.75" customHeight="1">
      <c r="C773" s="54"/>
      <c r="D773" s="55"/>
      <c r="E773" s="55"/>
      <c r="F773" s="55"/>
      <c r="H773" s="56"/>
    </row>
    <row r="774" ht="15.75" customHeight="1">
      <c r="C774" s="54"/>
      <c r="D774" s="55"/>
      <c r="E774" s="55"/>
      <c r="F774" s="55"/>
      <c r="H774" s="56"/>
    </row>
    <row r="775" ht="15.75" customHeight="1">
      <c r="C775" s="54"/>
      <c r="D775" s="55"/>
      <c r="E775" s="55"/>
      <c r="F775" s="55"/>
      <c r="H775" s="56"/>
    </row>
    <row r="776" ht="15.75" customHeight="1">
      <c r="C776" s="54"/>
      <c r="D776" s="55"/>
      <c r="E776" s="55"/>
      <c r="F776" s="55"/>
      <c r="H776" s="56"/>
    </row>
    <row r="777" ht="15.75" customHeight="1">
      <c r="C777" s="54"/>
      <c r="D777" s="55"/>
      <c r="E777" s="55"/>
      <c r="F777" s="55"/>
      <c r="H777" s="56"/>
    </row>
    <row r="778" ht="15.75" customHeight="1">
      <c r="C778" s="54"/>
      <c r="D778" s="55"/>
      <c r="E778" s="55"/>
      <c r="F778" s="55"/>
      <c r="H778" s="56"/>
    </row>
    <row r="779" ht="15.75" customHeight="1">
      <c r="C779" s="54"/>
      <c r="D779" s="55"/>
      <c r="E779" s="55"/>
      <c r="F779" s="55"/>
      <c r="H779" s="56"/>
    </row>
    <row r="780" ht="15.75" customHeight="1">
      <c r="C780" s="54"/>
      <c r="D780" s="55"/>
      <c r="E780" s="55"/>
      <c r="F780" s="55"/>
      <c r="H780" s="56"/>
    </row>
    <row r="781" ht="15.75" customHeight="1">
      <c r="C781" s="54"/>
      <c r="D781" s="55"/>
      <c r="E781" s="55"/>
      <c r="F781" s="55"/>
      <c r="H781" s="56"/>
    </row>
    <row r="782" ht="15.75" customHeight="1">
      <c r="C782" s="54"/>
      <c r="D782" s="55"/>
      <c r="E782" s="55"/>
      <c r="F782" s="55"/>
      <c r="H782" s="56"/>
    </row>
    <row r="783" ht="15.75" customHeight="1">
      <c r="C783" s="54"/>
      <c r="D783" s="55"/>
      <c r="E783" s="55"/>
      <c r="F783" s="55"/>
      <c r="H783" s="56"/>
    </row>
    <row r="784" ht="15.75" customHeight="1">
      <c r="C784" s="54"/>
      <c r="D784" s="55"/>
      <c r="E784" s="55"/>
      <c r="F784" s="55"/>
      <c r="H784" s="56"/>
    </row>
    <row r="785" ht="15.75" customHeight="1">
      <c r="C785" s="54"/>
      <c r="D785" s="55"/>
      <c r="E785" s="55"/>
      <c r="F785" s="55"/>
      <c r="H785" s="56"/>
    </row>
    <row r="786" ht="15.75" customHeight="1">
      <c r="C786" s="54"/>
      <c r="D786" s="55"/>
      <c r="E786" s="55"/>
      <c r="F786" s="55"/>
      <c r="H786" s="56"/>
    </row>
    <row r="787" ht="15.75" customHeight="1">
      <c r="C787" s="54"/>
      <c r="D787" s="55"/>
      <c r="E787" s="55"/>
      <c r="F787" s="55"/>
      <c r="H787" s="56"/>
    </row>
    <row r="788" ht="15.75" customHeight="1">
      <c r="C788" s="54"/>
      <c r="D788" s="55"/>
      <c r="E788" s="55"/>
      <c r="F788" s="55"/>
      <c r="H788" s="56"/>
    </row>
    <row r="789" ht="15.75" customHeight="1">
      <c r="C789" s="54"/>
      <c r="D789" s="55"/>
      <c r="E789" s="55"/>
      <c r="F789" s="55"/>
      <c r="H789" s="56"/>
    </row>
    <row r="790" ht="15.75" customHeight="1">
      <c r="C790" s="54"/>
      <c r="D790" s="55"/>
      <c r="E790" s="55"/>
      <c r="F790" s="55"/>
      <c r="H790" s="56"/>
    </row>
    <row r="791" ht="15.75" customHeight="1">
      <c r="C791" s="54"/>
      <c r="D791" s="55"/>
      <c r="E791" s="55"/>
      <c r="F791" s="55"/>
      <c r="H791" s="56"/>
    </row>
    <row r="792" ht="15.75" customHeight="1">
      <c r="C792" s="54"/>
      <c r="D792" s="55"/>
      <c r="E792" s="55"/>
      <c r="F792" s="55"/>
      <c r="H792" s="56"/>
    </row>
    <row r="793" ht="15.75" customHeight="1">
      <c r="C793" s="54"/>
      <c r="D793" s="55"/>
      <c r="E793" s="55"/>
      <c r="F793" s="55"/>
      <c r="H793" s="56"/>
    </row>
    <row r="794" ht="15.75" customHeight="1">
      <c r="C794" s="54"/>
      <c r="D794" s="55"/>
      <c r="E794" s="55"/>
      <c r="F794" s="55"/>
      <c r="H794" s="56"/>
    </row>
    <row r="795" ht="15.75" customHeight="1">
      <c r="C795" s="54"/>
      <c r="D795" s="55"/>
      <c r="E795" s="55"/>
      <c r="F795" s="55"/>
      <c r="H795" s="56"/>
    </row>
    <row r="796" ht="15.75" customHeight="1">
      <c r="C796" s="54"/>
      <c r="D796" s="55"/>
      <c r="E796" s="55"/>
      <c r="F796" s="55"/>
      <c r="H796" s="56"/>
    </row>
    <row r="797" ht="15.75" customHeight="1">
      <c r="C797" s="54"/>
      <c r="D797" s="55"/>
      <c r="E797" s="55"/>
      <c r="F797" s="55"/>
      <c r="H797" s="56"/>
    </row>
    <row r="798" ht="15.75" customHeight="1">
      <c r="C798" s="54"/>
      <c r="D798" s="55"/>
      <c r="E798" s="55"/>
      <c r="F798" s="55"/>
      <c r="H798" s="56"/>
    </row>
    <row r="799" ht="15.75" customHeight="1">
      <c r="C799" s="54"/>
      <c r="D799" s="55"/>
      <c r="E799" s="55"/>
      <c r="F799" s="55"/>
      <c r="H799" s="56"/>
    </row>
    <row r="800" ht="15.75" customHeight="1">
      <c r="C800" s="54"/>
      <c r="D800" s="55"/>
      <c r="E800" s="55"/>
      <c r="F800" s="55"/>
      <c r="H800" s="56"/>
    </row>
    <row r="801" ht="15.75" customHeight="1">
      <c r="C801" s="54"/>
      <c r="D801" s="55"/>
      <c r="E801" s="55"/>
      <c r="F801" s="55"/>
      <c r="H801" s="56"/>
    </row>
    <row r="802" ht="15.75" customHeight="1">
      <c r="C802" s="54"/>
      <c r="D802" s="55"/>
      <c r="E802" s="55"/>
      <c r="F802" s="55"/>
      <c r="H802" s="56"/>
    </row>
    <row r="803" ht="15.75" customHeight="1">
      <c r="C803" s="54"/>
      <c r="D803" s="55"/>
      <c r="E803" s="55"/>
      <c r="F803" s="55"/>
      <c r="H803" s="56"/>
    </row>
    <row r="804" ht="15.75" customHeight="1">
      <c r="C804" s="54"/>
      <c r="D804" s="55"/>
      <c r="E804" s="55"/>
      <c r="F804" s="55"/>
      <c r="H804" s="56"/>
    </row>
    <row r="805" ht="15.75" customHeight="1">
      <c r="C805" s="54"/>
      <c r="D805" s="55"/>
      <c r="E805" s="55"/>
      <c r="F805" s="55"/>
      <c r="H805" s="56"/>
    </row>
    <row r="806" ht="15.75" customHeight="1">
      <c r="C806" s="54"/>
      <c r="D806" s="55"/>
      <c r="E806" s="55"/>
      <c r="F806" s="55"/>
      <c r="H806" s="56"/>
    </row>
    <row r="807" ht="15.75" customHeight="1">
      <c r="C807" s="54"/>
      <c r="D807" s="55"/>
      <c r="E807" s="55"/>
      <c r="F807" s="55"/>
      <c r="H807" s="56"/>
    </row>
    <row r="808" ht="15.75" customHeight="1">
      <c r="C808" s="54"/>
      <c r="D808" s="55"/>
      <c r="E808" s="55"/>
      <c r="F808" s="55"/>
      <c r="H808" s="56"/>
    </row>
    <row r="809" ht="15.75" customHeight="1">
      <c r="C809" s="54"/>
      <c r="D809" s="55"/>
      <c r="E809" s="55"/>
      <c r="F809" s="55"/>
      <c r="H809" s="56"/>
    </row>
    <row r="810" ht="15.75" customHeight="1">
      <c r="C810" s="54"/>
      <c r="D810" s="55"/>
      <c r="E810" s="55"/>
      <c r="F810" s="55"/>
      <c r="H810" s="56"/>
    </row>
    <row r="811" ht="15.75" customHeight="1">
      <c r="C811" s="54"/>
      <c r="D811" s="55"/>
      <c r="E811" s="55"/>
      <c r="F811" s="55"/>
      <c r="H811" s="56"/>
    </row>
    <row r="812" ht="15.75" customHeight="1">
      <c r="C812" s="54"/>
      <c r="D812" s="55"/>
      <c r="E812" s="55"/>
      <c r="F812" s="55"/>
      <c r="H812" s="56"/>
    </row>
    <row r="813" ht="15.75" customHeight="1">
      <c r="C813" s="54"/>
      <c r="D813" s="55"/>
      <c r="E813" s="55"/>
      <c r="F813" s="55"/>
      <c r="H813" s="56"/>
    </row>
    <row r="814" ht="15.75" customHeight="1">
      <c r="C814" s="54"/>
      <c r="D814" s="55"/>
      <c r="E814" s="55"/>
      <c r="F814" s="55"/>
      <c r="H814" s="56"/>
    </row>
    <row r="815" ht="15.75" customHeight="1">
      <c r="C815" s="54"/>
      <c r="D815" s="55"/>
      <c r="E815" s="55"/>
      <c r="F815" s="55"/>
      <c r="H815" s="56"/>
    </row>
    <row r="816" ht="15.75" customHeight="1">
      <c r="C816" s="54"/>
      <c r="D816" s="55"/>
      <c r="E816" s="55"/>
      <c r="F816" s="55"/>
      <c r="H816" s="56"/>
    </row>
    <row r="817" ht="15.75" customHeight="1">
      <c r="C817" s="54"/>
      <c r="D817" s="55"/>
      <c r="E817" s="55"/>
      <c r="F817" s="55"/>
      <c r="H817" s="56"/>
    </row>
    <row r="818" ht="15.75" customHeight="1">
      <c r="C818" s="54"/>
      <c r="D818" s="55"/>
      <c r="E818" s="55"/>
      <c r="F818" s="55"/>
      <c r="H818" s="56"/>
    </row>
    <row r="819" ht="15.75" customHeight="1">
      <c r="C819" s="54"/>
      <c r="D819" s="55"/>
      <c r="E819" s="55"/>
      <c r="F819" s="55"/>
      <c r="H819" s="56"/>
    </row>
    <row r="820" ht="15.75" customHeight="1">
      <c r="C820" s="54"/>
      <c r="D820" s="55"/>
      <c r="E820" s="55"/>
      <c r="F820" s="55"/>
      <c r="H820" s="56"/>
    </row>
    <row r="821" ht="15.75" customHeight="1">
      <c r="C821" s="54"/>
      <c r="D821" s="55"/>
      <c r="E821" s="55"/>
      <c r="F821" s="55"/>
      <c r="H821" s="56"/>
    </row>
    <row r="822" ht="15.75" customHeight="1">
      <c r="C822" s="54"/>
      <c r="D822" s="55"/>
      <c r="E822" s="55"/>
      <c r="F822" s="55"/>
      <c r="H822" s="56"/>
    </row>
    <row r="823" ht="15.75" customHeight="1">
      <c r="C823" s="54"/>
      <c r="D823" s="55"/>
      <c r="E823" s="55"/>
      <c r="F823" s="55"/>
      <c r="H823" s="56"/>
    </row>
    <row r="824" ht="15.75" customHeight="1">
      <c r="C824" s="54"/>
      <c r="D824" s="55"/>
      <c r="E824" s="55"/>
      <c r="F824" s="55"/>
      <c r="H824" s="56"/>
    </row>
    <row r="825" ht="15.75" customHeight="1">
      <c r="C825" s="54"/>
      <c r="D825" s="55"/>
      <c r="E825" s="55"/>
      <c r="F825" s="55"/>
      <c r="H825" s="56"/>
    </row>
    <row r="826" ht="15.75" customHeight="1">
      <c r="C826" s="54"/>
      <c r="D826" s="55"/>
      <c r="E826" s="55"/>
      <c r="F826" s="55"/>
      <c r="H826" s="56"/>
    </row>
    <row r="827" ht="15.75" customHeight="1">
      <c r="C827" s="54"/>
      <c r="D827" s="55"/>
      <c r="E827" s="55"/>
      <c r="F827" s="55"/>
      <c r="H827" s="56"/>
    </row>
    <row r="828" ht="15.75" customHeight="1">
      <c r="C828" s="54"/>
      <c r="D828" s="55"/>
      <c r="E828" s="55"/>
      <c r="F828" s="55"/>
      <c r="H828" s="56"/>
    </row>
    <row r="829" ht="15.75" customHeight="1">
      <c r="C829" s="54"/>
      <c r="D829" s="55"/>
      <c r="E829" s="55"/>
      <c r="F829" s="55"/>
      <c r="H829" s="56"/>
    </row>
    <row r="830" ht="15.75" customHeight="1">
      <c r="C830" s="54"/>
      <c r="D830" s="55"/>
      <c r="E830" s="55"/>
      <c r="F830" s="55"/>
      <c r="H830" s="56"/>
    </row>
    <row r="831" ht="15.75" customHeight="1">
      <c r="C831" s="54"/>
      <c r="D831" s="55"/>
      <c r="E831" s="55"/>
      <c r="F831" s="55"/>
      <c r="H831" s="56"/>
    </row>
    <row r="832" ht="15.75" customHeight="1">
      <c r="C832" s="54"/>
      <c r="D832" s="55"/>
      <c r="E832" s="55"/>
      <c r="F832" s="55"/>
      <c r="H832" s="56"/>
    </row>
    <row r="833" ht="15.75" customHeight="1">
      <c r="C833" s="54"/>
      <c r="D833" s="55"/>
      <c r="E833" s="55"/>
      <c r="F833" s="55"/>
      <c r="H833" s="56"/>
    </row>
    <row r="834" ht="15.75" customHeight="1">
      <c r="C834" s="54"/>
      <c r="D834" s="55"/>
      <c r="E834" s="55"/>
      <c r="F834" s="55"/>
      <c r="H834" s="56"/>
    </row>
    <row r="835" ht="15.75" customHeight="1">
      <c r="C835" s="54"/>
      <c r="D835" s="55"/>
      <c r="E835" s="55"/>
      <c r="F835" s="55"/>
      <c r="H835" s="56"/>
    </row>
    <row r="836" ht="15.75" customHeight="1">
      <c r="C836" s="54"/>
      <c r="D836" s="55"/>
      <c r="E836" s="55"/>
      <c r="F836" s="55"/>
      <c r="H836" s="56"/>
    </row>
    <row r="837" ht="15.75" customHeight="1">
      <c r="C837" s="54"/>
      <c r="D837" s="55"/>
      <c r="E837" s="55"/>
      <c r="F837" s="55"/>
      <c r="H837" s="56"/>
    </row>
    <row r="838" ht="15.75" customHeight="1">
      <c r="C838" s="54"/>
      <c r="D838" s="55"/>
      <c r="E838" s="55"/>
      <c r="F838" s="55"/>
      <c r="H838" s="56"/>
    </row>
    <row r="839" ht="15.75" customHeight="1">
      <c r="C839" s="54"/>
      <c r="D839" s="55"/>
      <c r="E839" s="55"/>
      <c r="F839" s="55"/>
      <c r="H839" s="56"/>
    </row>
    <row r="840" ht="15.75" customHeight="1">
      <c r="C840" s="54"/>
      <c r="D840" s="55"/>
      <c r="E840" s="55"/>
      <c r="F840" s="55"/>
      <c r="H840" s="56"/>
    </row>
    <row r="841" ht="15.75" customHeight="1">
      <c r="C841" s="54"/>
      <c r="D841" s="55"/>
      <c r="E841" s="55"/>
      <c r="F841" s="55"/>
      <c r="H841" s="56"/>
    </row>
    <row r="842" ht="15.75" customHeight="1">
      <c r="C842" s="54"/>
      <c r="D842" s="55"/>
      <c r="E842" s="55"/>
      <c r="F842" s="55"/>
      <c r="H842" s="56"/>
    </row>
    <row r="843" ht="15.75" customHeight="1">
      <c r="C843" s="54"/>
      <c r="D843" s="55"/>
      <c r="E843" s="55"/>
      <c r="F843" s="55"/>
      <c r="H843" s="56"/>
    </row>
    <row r="844" ht="15.75" customHeight="1">
      <c r="C844" s="54"/>
      <c r="D844" s="55"/>
      <c r="E844" s="55"/>
      <c r="F844" s="55"/>
      <c r="H844" s="56"/>
    </row>
    <row r="845" ht="15.75" customHeight="1">
      <c r="C845" s="54"/>
      <c r="D845" s="55"/>
      <c r="E845" s="55"/>
      <c r="F845" s="55"/>
      <c r="H845" s="56"/>
    </row>
    <row r="846" ht="15.75" customHeight="1">
      <c r="C846" s="54"/>
      <c r="D846" s="55"/>
      <c r="E846" s="55"/>
      <c r="F846" s="55"/>
      <c r="H846" s="56"/>
    </row>
    <row r="847" ht="15.75" customHeight="1">
      <c r="C847" s="54"/>
      <c r="D847" s="55"/>
      <c r="E847" s="55"/>
      <c r="F847" s="55"/>
      <c r="H847" s="56"/>
    </row>
    <row r="848" ht="15.75" customHeight="1">
      <c r="C848" s="54"/>
      <c r="D848" s="55"/>
      <c r="E848" s="55"/>
      <c r="F848" s="55"/>
      <c r="H848" s="56"/>
    </row>
    <row r="849" ht="15.75" customHeight="1">
      <c r="C849" s="54"/>
      <c r="D849" s="55"/>
      <c r="E849" s="55"/>
      <c r="F849" s="55"/>
      <c r="H849" s="56"/>
    </row>
    <row r="850" ht="15.75" customHeight="1">
      <c r="C850" s="54"/>
      <c r="D850" s="55"/>
      <c r="E850" s="55"/>
      <c r="F850" s="55"/>
      <c r="H850" s="56"/>
    </row>
    <row r="851" ht="15.75" customHeight="1">
      <c r="C851" s="54"/>
      <c r="D851" s="55"/>
      <c r="E851" s="55"/>
      <c r="F851" s="55"/>
      <c r="H851" s="56"/>
    </row>
    <row r="852" ht="15.75" customHeight="1">
      <c r="C852" s="54"/>
      <c r="D852" s="55"/>
      <c r="E852" s="55"/>
      <c r="F852" s="55"/>
      <c r="H852" s="56"/>
    </row>
    <row r="853" ht="15.75" customHeight="1">
      <c r="C853" s="54"/>
      <c r="D853" s="55"/>
      <c r="E853" s="55"/>
      <c r="F853" s="55"/>
      <c r="H853" s="56"/>
    </row>
    <row r="854" ht="15.75" customHeight="1">
      <c r="C854" s="54"/>
      <c r="D854" s="55"/>
      <c r="E854" s="55"/>
      <c r="F854" s="55"/>
      <c r="H854" s="56"/>
    </row>
    <row r="855" ht="15.75" customHeight="1">
      <c r="C855" s="54"/>
      <c r="D855" s="55"/>
      <c r="E855" s="55"/>
      <c r="F855" s="55"/>
      <c r="H855" s="56"/>
    </row>
    <row r="856" ht="15.75" customHeight="1">
      <c r="C856" s="54"/>
      <c r="D856" s="55"/>
      <c r="E856" s="55"/>
      <c r="F856" s="55"/>
      <c r="H856" s="56"/>
    </row>
    <row r="857" ht="15.75" customHeight="1">
      <c r="C857" s="54"/>
      <c r="D857" s="55"/>
      <c r="E857" s="55"/>
      <c r="F857" s="55"/>
      <c r="H857" s="56"/>
    </row>
    <row r="858" ht="15.75" customHeight="1">
      <c r="C858" s="54"/>
      <c r="D858" s="55"/>
      <c r="E858" s="55"/>
      <c r="F858" s="55"/>
      <c r="H858" s="56"/>
    </row>
    <row r="859" ht="15.75" customHeight="1">
      <c r="C859" s="54"/>
      <c r="D859" s="55"/>
      <c r="E859" s="55"/>
      <c r="F859" s="55"/>
      <c r="H859" s="56"/>
    </row>
    <row r="860" ht="15.75" customHeight="1">
      <c r="C860" s="54"/>
      <c r="D860" s="55"/>
      <c r="E860" s="55"/>
      <c r="F860" s="55"/>
      <c r="H860" s="56"/>
    </row>
    <row r="861" ht="15.75" customHeight="1">
      <c r="C861" s="54"/>
      <c r="D861" s="55"/>
      <c r="E861" s="55"/>
      <c r="F861" s="55"/>
      <c r="H861" s="56"/>
    </row>
    <row r="862" ht="15.75" customHeight="1">
      <c r="C862" s="54"/>
      <c r="D862" s="55"/>
      <c r="E862" s="55"/>
      <c r="F862" s="55"/>
      <c r="H862" s="56"/>
    </row>
    <row r="863" ht="15.75" customHeight="1">
      <c r="C863" s="54"/>
      <c r="D863" s="55"/>
      <c r="E863" s="55"/>
      <c r="F863" s="55"/>
      <c r="H863" s="56"/>
    </row>
    <row r="864" ht="15.75" customHeight="1">
      <c r="C864" s="54"/>
      <c r="D864" s="55"/>
      <c r="E864" s="55"/>
      <c r="F864" s="55"/>
      <c r="H864" s="56"/>
    </row>
    <row r="865" ht="15.75" customHeight="1">
      <c r="C865" s="54"/>
      <c r="D865" s="55"/>
      <c r="E865" s="55"/>
      <c r="F865" s="55"/>
      <c r="H865" s="56"/>
    </row>
    <row r="866" ht="15.75" customHeight="1">
      <c r="C866" s="54"/>
      <c r="D866" s="55"/>
      <c r="E866" s="55"/>
      <c r="F866" s="55"/>
      <c r="H866" s="56"/>
    </row>
    <row r="867" ht="15.75" customHeight="1">
      <c r="C867" s="54"/>
      <c r="D867" s="55"/>
      <c r="E867" s="55"/>
      <c r="F867" s="55"/>
      <c r="H867" s="56"/>
    </row>
    <row r="868" ht="15.75" customHeight="1">
      <c r="C868" s="54"/>
      <c r="D868" s="55"/>
      <c r="E868" s="55"/>
      <c r="F868" s="55"/>
      <c r="H868" s="56"/>
    </row>
    <row r="869" ht="15.75" customHeight="1">
      <c r="C869" s="54"/>
      <c r="D869" s="55"/>
      <c r="E869" s="55"/>
      <c r="F869" s="55"/>
      <c r="H869" s="56"/>
    </row>
    <row r="870" ht="15.75" customHeight="1">
      <c r="C870" s="54"/>
      <c r="D870" s="55"/>
      <c r="E870" s="55"/>
      <c r="F870" s="55"/>
      <c r="H870" s="56"/>
    </row>
    <row r="871" ht="15.75" customHeight="1">
      <c r="C871" s="54"/>
      <c r="D871" s="55"/>
      <c r="E871" s="55"/>
      <c r="F871" s="55"/>
      <c r="H871" s="56"/>
    </row>
    <row r="872" ht="15.75" customHeight="1">
      <c r="C872" s="54"/>
      <c r="D872" s="55"/>
      <c r="E872" s="55"/>
      <c r="F872" s="55"/>
      <c r="H872" s="56"/>
    </row>
    <row r="873" ht="15.75" customHeight="1">
      <c r="C873" s="54"/>
      <c r="D873" s="55"/>
      <c r="E873" s="55"/>
      <c r="F873" s="55"/>
      <c r="H873" s="56"/>
    </row>
    <row r="874" ht="15.75" customHeight="1">
      <c r="C874" s="54"/>
      <c r="D874" s="55"/>
      <c r="E874" s="55"/>
      <c r="F874" s="55"/>
      <c r="H874" s="56"/>
    </row>
    <row r="875" ht="15.75" customHeight="1">
      <c r="C875" s="54"/>
      <c r="D875" s="55"/>
      <c r="E875" s="55"/>
      <c r="F875" s="55"/>
      <c r="H875" s="56"/>
    </row>
    <row r="876" ht="15.75" customHeight="1">
      <c r="C876" s="54"/>
      <c r="D876" s="55"/>
      <c r="E876" s="55"/>
      <c r="F876" s="55"/>
      <c r="H876" s="56"/>
    </row>
    <row r="877" ht="15.75" customHeight="1">
      <c r="C877" s="54"/>
      <c r="D877" s="55"/>
      <c r="E877" s="55"/>
      <c r="F877" s="55"/>
      <c r="H877" s="56"/>
    </row>
    <row r="878" ht="15.75" customHeight="1">
      <c r="C878" s="54"/>
      <c r="D878" s="55"/>
      <c r="E878" s="55"/>
      <c r="F878" s="55"/>
      <c r="H878" s="56"/>
    </row>
    <row r="879" ht="15.75" customHeight="1">
      <c r="C879" s="54"/>
      <c r="D879" s="55"/>
      <c r="E879" s="55"/>
      <c r="F879" s="55"/>
      <c r="H879" s="56"/>
    </row>
    <row r="880" ht="15.75" customHeight="1">
      <c r="C880" s="54"/>
      <c r="D880" s="55"/>
      <c r="E880" s="55"/>
      <c r="F880" s="55"/>
      <c r="H880" s="56"/>
    </row>
    <row r="881" ht="15.75" customHeight="1">
      <c r="C881" s="54"/>
      <c r="D881" s="55"/>
      <c r="E881" s="55"/>
      <c r="F881" s="55"/>
      <c r="H881" s="56"/>
    </row>
    <row r="882" ht="15.75" customHeight="1">
      <c r="C882" s="54"/>
      <c r="D882" s="55"/>
      <c r="E882" s="55"/>
      <c r="F882" s="55"/>
      <c r="H882" s="56"/>
    </row>
    <row r="883" ht="15.75" customHeight="1">
      <c r="C883" s="54"/>
      <c r="D883" s="55"/>
      <c r="E883" s="55"/>
      <c r="F883" s="55"/>
      <c r="H883" s="56"/>
    </row>
    <row r="884" ht="15.75" customHeight="1">
      <c r="C884" s="54"/>
      <c r="D884" s="55"/>
      <c r="E884" s="55"/>
      <c r="F884" s="55"/>
      <c r="H884" s="56"/>
    </row>
    <row r="885" ht="15.75" customHeight="1">
      <c r="C885" s="54"/>
      <c r="D885" s="55"/>
      <c r="E885" s="55"/>
      <c r="F885" s="55"/>
      <c r="H885" s="56"/>
    </row>
    <row r="886" ht="15.75" customHeight="1">
      <c r="C886" s="54"/>
      <c r="D886" s="55"/>
      <c r="E886" s="55"/>
      <c r="F886" s="55"/>
      <c r="H886" s="56"/>
    </row>
    <row r="887" ht="15.75" customHeight="1">
      <c r="C887" s="54"/>
      <c r="D887" s="55"/>
      <c r="E887" s="55"/>
      <c r="F887" s="55"/>
      <c r="H887" s="56"/>
    </row>
    <row r="888" ht="15.75" customHeight="1">
      <c r="C888" s="54"/>
      <c r="D888" s="55"/>
      <c r="E888" s="55"/>
      <c r="F888" s="55"/>
      <c r="H888" s="56"/>
    </row>
    <row r="889" ht="15.75" customHeight="1">
      <c r="C889" s="54"/>
      <c r="D889" s="55"/>
      <c r="E889" s="55"/>
      <c r="F889" s="55"/>
      <c r="H889" s="56"/>
    </row>
    <row r="890" ht="15.75" customHeight="1">
      <c r="C890" s="54"/>
      <c r="D890" s="55"/>
      <c r="E890" s="55"/>
      <c r="F890" s="55"/>
      <c r="H890" s="56"/>
    </row>
    <row r="891" ht="15.75" customHeight="1">
      <c r="C891" s="54"/>
      <c r="D891" s="55"/>
      <c r="E891" s="55"/>
      <c r="F891" s="55"/>
      <c r="H891" s="56"/>
    </row>
    <row r="892" ht="15.75" customHeight="1">
      <c r="C892" s="54"/>
      <c r="D892" s="55"/>
      <c r="E892" s="55"/>
      <c r="F892" s="55"/>
      <c r="H892" s="56"/>
    </row>
    <row r="893" ht="15.75" customHeight="1">
      <c r="C893" s="54"/>
      <c r="D893" s="55"/>
      <c r="E893" s="55"/>
      <c r="F893" s="55"/>
      <c r="H893" s="56"/>
    </row>
    <row r="894" ht="15.75" customHeight="1">
      <c r="C894" s="54"/>
      <c r="D894" s="55"/>
      <c r="E894" s="55"/>
      <c r="F894" s="55"/>
      <c r="H894" s="56"/>
    </row>
    <row r="895" ht="15.75" customHeight="1">
      <c r="C895" s="54"/>
      <c r="D895" s="55"/>
      <c r="E895" s="55"/>
      <c r="F895" s="55"/>
      <c r="H895" s="56"/>
    </row>
    <row r="896" ht="15.75" customHeight="1">
      <c r="C896" s="54"/>
      <c r="D896" s="55"/>
      <c r="E896" s="55"/>
      <c r="F896" s="55"/>
      <c r="H896" s="56"/>
    </row>
    <row r="897" ht="15.75" customHeight="1">
      <c r="C897" s="54"/>
      <c r="D897" s="55"/>
      <c r="E897" s="55"/>
      <c r="F897" s="55"/>
      <c r="H897" s="56"/>
    </row>
    <row r="898" ht="15.75" customHeight="1">
      <c r="C898" s="54"/>
      <c r="D898" s="55"/>
      <c r="E898" s="55"/>
      <c r="F898" s="55"/>
      <c r="H898" s="56"/>
    </row>
    <row r="899" ht="15.75" customHeight="1">
      <c r="C899" s="54"/>
      <c r="D899" s="55"/>
      <c r="E899" s="55"/>
      <c r="F899" s="55"/>
      <c r="H899" s="56"/>
    </row>
    <row r="900" ht="15.75" customHeight="1">
      <c r="C900" s="54"/>
      <c r="D900" s="55"/>
      <c r="E900" s="55"/>
      <c r="F900" s="55"/>
      <c r="H900" s="56"/>
    </row>
    <row r="901" ht="15.75" customHeight="1">
      <c r="C901" s="54"/>
      <c r="D901" s="55"/>
      <c r="E901" s="55"/>
      <c r="F901" s="55"/>
      <c r="H901" s="56"/>
    </row>
    <row r="902" ht="15.75" customHeight="1">
      <c r="C902" s="54"/>
      <c r="D902" s="55"/>
      <c r="E902" s="55"/>
      <c r="F902" s="55"/>
      <c r="H902" s="56"/>
    </row>
    <row r="903" ht="15.75" customHeight="1">
      <c r="C903" s="54"/>
      <c r="D903" s="55"/>
      <c r="E903" s="55"/>
      <c r="F903" s="55"/>
      <c r="H903" s="56"/>
    </row>
    <row r="904" ht="15.75" customHeight="1">
      <c r="C904" s="54"/>
      <c r="D904" s="55"/>
      <c r="E904" s="55"/>
      <c r="F904" s="55"/>
      <c r="H904" s="56"/>
    </row>
    <row r="905" ht="15.75" customHeight="1">
      <c r="C905" s="54"/>
      <c r="D905" s="55"/>
      <c r="E905" s="55"/>
      <c r="F905" s="55"/>
      <c r="H905" s="56"/>
    </row>
    <row r="906" ht="15.75" customHeight="1">
      <c r="C906" s="54"/>
      <c r="D906" s="55"/>
      <c r="E906" s="55"/>
      <c r="F906" s="55"/>
      <c r="H906" s="56"/>
    </row>
    <row r="907" ht="15.75" customHeight="1">
      <c r="C907" s="54"/>
      <c r="D907" s="55"/>
      <c r="E907" s="55"/>
      <c r="F907" s="55"/>
      <c r="H907" s="56"/>
    </row>
    <row r="908" ht="15.75" customHeight="1">
      <c r="C908" s="54"/>
      <c r="D908" s="55"/>
      <c r="E908" s="55"/>
      <c r="F908" s="55"/>
      <c r="H908" s="56"/>
    </row>
    <row r="909" ht="15.75" customHeight="1">
      <c r="C909" s="54"/>
      <c r="D909" s="55"/>
      <c r="E909" s="55"/>
      <c r="F909" s="55"/>
      <c r="H909" s="56"/>
    </row>
    <row r="910" ht="15.75" customHeight="1">
      <c r="C910" s="54"/>
      <c r="D910" s="55"/>
      <c r="E910" s="55"/>
      <c r="F910" s="55"/>
      <c r="H910" s="56"/>
    </row>
    <row r="911" ht="15.75" customHeight="1">
      <c r="C911" s="54"/>
      <c r="D911" s="55"/>
      <c r="E911" s="55"/>
      <c r="F911" s="55"/>
      <c r="H911" s="56"/>
    </row>
    <row r="912" ht="15.75" customHeight="1">
      <c r="C912" s="54"/>
      <c r="D912" s="55"/>
      <c r="E912" s="55"/>
      <c r="F912" s="55"/>
      <c r="H912" s="56"/>
    </row>
    <row r="913" ht="15.75" customHeight="1">
      <c r="C913" s="54"/>
      <c r="D913" s="55"/>
      <c r="E913" s="55"/>
      <c r="F913" s="55"/>
      <c r="H913" s="56"/>
    </row>
    <row r="914" ht="15.75" customHeight="1">
      <c r="C914" s="54"/>
      <c r="D914" s="55"/>
      <c r="E914" s="55"/>
      <c r="F914" s="55"/>
      <c r="H914" s="56"/>
    </row>
    <row r="915" ht="15.75" customHeight="1">
      <c r="C915" s="54"/>
      <c r="D915" s="55"/>
      <c r="E915" s="55"/>
      <c r="F915" s="55"/>
      <c r="H915" s="56"/>
    </row>
    <row r="916" ht="15.75" customHeight="1">
      <c r="C916" s="54"/>
      <c r="D916" s="55"/>
      <c r="E916" s="55"/>
      <c r="F916" s="55"/>
      <c r="H916" s="56"/>
    </row>
    <row r="917" ht="15.75" customHeight="1">
      <c r="C917" s="54"/>
      <c r="D917" s="55"/>
      <c r="E917" s="55"/>
      <c r="F917" s="55"/>
      <c r="H917" s="56"/>
    </row>
    <row r="918" ht="15.75" customHeight="1">
      <c r="C918" s="54"/>
      <c r="D918" s="55"/>
      <c r="E918" s="55"/>
      <c r="F918" s="55"/>
      <c r="H918" s="56"/>
    </row>
    <row r="919" ht="15.75" customHeight="1">
      <c r="C919" s="54"/>
      <c r="D919" s="55"/>
      <c r="E919" s="55"/>
      <c r="F919" s="55"/>
      <c r="H919" s="56"/>
    </row>
    <row r="920" ht="15.75" customHeight="1">
      <c r="C920" s="54"/>
      <c r="D920" s="55"/>
      <c r="E920" s="55"/>
      <c r="F920" s="55"/>
      <c r="H920" s="56"/>
    </row>
    <row r="921" ht="15.75" customHeight="1">
      <c r="C921" s="54"/>
      <c r="D921" s="55"/>
      <c r="E921" s="55"/>
      <c r="F921" s="55"/>
      <c r="H921" s="56"/>
    </row>
    <row r="922" ht="15.75" customHeight="1">
      <c r="C922" s="54"/>
      <c r="D922" s="55"/>
      <c r="E922" s="55"/>
      <c r="F922" s="55"/>
      <c r="H922" s="56"/>
    </row>
    <row r="923" ht="15.75" customHeight="1">
      <c r="C923" s="54"/>
      <c r="D923" s="55"/>
      <c r="E923" s="55"/>
      <c r="F923" s="55"/>
      <c r="H923" s="56"/>
    </row>
    <row r="924" ht="15.75" customHeight="1">
      <c r="C924" s="54"/>
      <c r="D924" s="55"/>
      <c r="E924" s="55"/>
      <c r="F924" s="55"/>
      <c r="H924" s="56"/>
    </row>
    <row r="925" ht="15.75" customHeight="1">
      <c r="C925" s="54"/>
      <c r="D925" s="55"/>
      <c r="E925" s="55"/>
      <c r="F925" s="55"/>
      <c r="H925" s="56"/>
    </row>
    <row r="926" ht="15.75" customHeight="1">
      <c r="C926" s="54"/>
      <c r="D926" s="55"/>
      <c r="E926" s="55"/>
      <c r="F926" s="55"/>
      <c r="H926" s="56"/>
    </row>
    <row r="927" ht="15.75" customHeight="1">
      <c r="C927" s="54"/>
      <c r="D927" s="55"/>
      <c r="E927" s="55"/>
      <c r="F927" s="55"/>
      <c r="H927" s="56"/>
    </row>
    <row r="928" ht="15.75" customHeight="1">
      <c r="C928" s="54"/>
      <c r="D928" s="55"/>
      <c r="E928" s="55"/>
      <c r="F928" s="55"/>
      <c r="H928" s="56"/>
    </row>
    <row r="929" ht="15.75" customHeight="1">
      <c r="C929" s="54"/>
      <c r="D929" s="55"/>
      <c r="E929" s="55"/>
      <c r="F929" s="55"/>
      <c r="H929" s="56"/>
    </row>
    <row r="930" ht="15.75" customHeight="1">
      <c r="C930" s="54"/>
      <c r="D930" s="55"/>
      <c r="E930" s="55"/>
      <c r="F930" s="55"/>
      <c r="H930" s="56"/>
    </row>
    <row r="931" ht="15.75" customHeight="1">
      <c r="C931" s="54"/>
      <c r="D931" s="55"/>
      <c r="E931" s="55"/>
      <c r="F931" s="55"/>
      <c r="H931" s="56"/>
    </row>
    <row r="932" ht="15.75" customHeight="1">
      <c r="C932" s="54"/>
      <c r="D932" s="55"/>
      <c r="E932" s="55"/>
      <c r="F932" s="55"/>
      <c r="H932" s="56"/>
    </row>
    <row r="933" ht="15.75" customHeight="1">
      <c r="C933" s="54"/>
      <c r="D933" s="55"/>
      <c r="E933" s="55"/>
      <c r="F933" s="55"/>
      <c r="H933" s="56"/>
    </row>
    <row r="934" ht="15.75" customHeight="1">
      <c r="C934" s="54"/>
      <c r="D934" s="55"/>
      <c r="E934" s="55"/>
      <c r="F934" s="55"/>
      <c r="H934" s="56"/>
    </row>
    <row r="935" ht="15.75" customHeight="1">
      <c r="C935" s="54"/>
      <c r="D935" s="55"/>
      <c r="E935" s="55"/>
      <c r="F935" s="55"/>
      <c r="H935" s="56"/>
    </row>
    <row r="936" ht="15.75" customHeight="1">
      <c r="C936" s="54"/>
      <c r="D936" s="55"/>
      <c r="E936" s="55"/>
      <c r="F936" s="55"/>
      <c r="H936" s="56"/>
    </row>
    <row r="937" ht="15.75" customHeight="1">
      <c r="C937" s="54"/>
      <c r="D937" s="55"/>
      <c r="E937" s="55"/>
      <c r="F937" s="55"/>
      <c r="H937" s="56"/>
    </row>
    <row r="938" ht="15.75" customHeight="1">
      <c r="C938" s="54"/>
      <c r="D938" s="55"/>
      <c r="E938" s="55"/>
      <c r="F938" s="55"/>
      <c r="H938" s="56"/>
    </row>
    <row r="939" ht="15.75" customHeight="1">
      <c r="C939" s="54"/>
      <c r="D939" s="55"/>
      <c r="E939" s="55"/>
      <c r="F939" s="55"/>
      <c r="H939" s="56"/>
    </row>
    <row r="940" ht="15.75" customHeight="1">
      <c r="C940" s="54"/>
      <c r="D940" s="55"/>
      <c r="E940" s="55"/>
      <c r="F940" s="55"/>
      <c r="H940" s="56"/>
    </row>
    <row r="941" ht="15.75" customHeight="1">
      <c r="C941" s="54"/>
      <c r="D941" s="55"/>
      <c r="E941" s="55"/>
      <c r="F941" s="55"/>
      <c r="H941" s="56"/>
    </row>
    <row r="942" ht="15.75" customHeight="1">
      <c r="C942" s="54"/>
      <c r="D942" s="55"/>
      <c r="E942" s="55"/>
      <c r="F942" s="55"/>
      <c r="H942" s="56"/>
    </row>
    <row r="943" ht="15.75" customHeight="1">
      <c r="C943" s="54"/>
      <c r="D943" s="55"/>
      <c r="E943" s="55"/>
      <c r="F943" s="55"/>
      <c r="H943" s="56"/>
    </row>
    <row r="944" ht="15.75" customHeight="1">
      <c r="C944" s="54"/>
      <c r="D944" s="55"/>
      <c r="E944" s="55"/>
      <c r="F944" s="55"/>
      <c r="H944" s="56"/>
    </row>
    <row r="945" ht="15.75" customHeight="1">
      <c r="C945" s="54"/>
      <c r="D945" s="55"/>
      <c r="E945" s="55"/>
      <c r="F945" s="55"/>
      <c r="H945" s="56"/>
    </row>
    <row r="946" ht="15.75" customHeight="1">
      <c r="C946" s="54"/>
      <c r="D946" s="55"/>
      <c r="E946" s="55"/>
      <c r="F946" s="55"/>
      <c r="H946" s="56"/>
    </row>
    <row r="947" ht="15.75" customHeight="1">
      <c r="C947" s="54"/>
      <c r="D947" s="55"/>
      <c r="E947" s="55"/>
      <c r="F947" s="55"/>
      <c r="H947" s="56"/>
    </row>
    <row r="948" ht="15.75" customHeight="1">
      <c r="C948" s="54"/>
      <c r="D948" s="55"/>
      <c r="E948" s="55"/>
      <c r="F948" s="55"/>
      <c r="H948" s="56"/>
    </row>
    <row r="949" ht="15.75" customHeight="1">
      <c r="C949" s="54"/>
      <c r="D949" s="55"/>
      <c r="E949" s="55"/>
      <c r="F949" s="55"/>
      <c r="H949" s="56"/>
    </row>
    <row r="950" ht="15.75" customHeight="1">
      <c r="C950" s="54"/>
      <c r="D950" s="55"/>
      <c r="E950" s="55"/>
      <c r="F950" s="55"/>
      <c r="H950" s="56"/>
    </row>
    <row r="951" ht="15.75" customHeight="1">
      <c r="C951" s="54"/>
      <c r="D951" s="55"/>
      <c r="E951" s="55"/>
      <c r="F951" s="55"/>
      <c r="H951" s="56"/>
    </row>
  </sheetData>
  <mergeCells count="1">
    <mergeCell ref="B1:I1"/>
  </mergeCells>
  <printOptions/>
  <pageMargins bottom="0.75" footer="0.0" header="0.0" left="0.25" right="0.25" top="0.75"/>
  <pageSetup fitToWidth="0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48.88"/>
    <col customWidth="1" min="2" max="2" width="48.88"/>
    <col customWidth="1" min="3" max="5" width="15.13"/>
    <col customWidth="1" min="6" max="7" width="16.38"/>
    <col customWidth="1" min="8" max="8" width="15.0"/>
    <col customWidth="1" min="9" max="9" width="19.25"/>
    <col customWidth="1" min="10" max="26" width="12.75"/>
  </cols>
  <sheetData>
    <row r="1" ht="57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36.0" customHeight="1">
      <c r="A2" s="57"/>
      <c r="B2" s="58" t="s">
        <v>1</v>
      </c>
      <c r="C2" s="59" t="s">
        <v>2</v>
      </c>
      <c r="D2" s="59" t="s">
        <v>41</v>
      </c>
      <c r="E2" s="60" t="s">
        <v>42</v>
      </c>
      <c r="F2" s="60" t="s">
        <v>43</v>
      </c>
      <c r="G2" s="61" t="s">
        <v>6</v>
      </c>
      <c r="H2" s="62" t="s">
        <v>7</v>
      </c>
      <c r="I2" s="62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ht="21.0" customHeight="1">
      <c r="A3" s="63">
        <v>1.0</v>
      </c>
      <c r="B3" s="64" t="s">
        <v>9</v>
      </c>
      <c r="C3" s="65">
        <v>45505.0</v>
      </c>
      <c r="D3" s="19">
        <v>7500.0</v>
      </c>
      <c r="E3" s="19">
        <v>7500.0</v>
      </c>
      <c r="F3" s="19">
        <v>7500.0</v>
      </c>
      <c r="G3" s="19">
        <f>SUM('2 TRIMESTRE'!$D3:$F3)</f>
        <v>22500</v>
      </c>
      <c r="H3" s="66">
        <v>0.15</v>
      </c>
      <c r="I3" s="67">
        <f>'2 TRIMESTRE'!$G3*'2 TRIMESTRE'!$H3</f>
        <v>3375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21.0" customHeight="1">
      <c r="A4" s="68"/>
      <c r="B4" s="69" t="s">
        <v>10</v>
      </c>
      <c r="C4" s="70">
        <v>45733.0</v>
      </c>
      <c r="D4" s="71">
        <v>7500.0</v>
      </c>
      <c r="E4" s="71">
        <v>7500.0</v>
      </c>
      <c r="F4" s="71">
        <v>7500.0</v>
      </c>
      <c r="G4" s="71">
        <f>SUM('2 TRIMESTRE'!$D4:$F4)</f>
        <v>22500</v>
      </c>
      <c r="H4" s="72">
        <v>0.25</v>
      </c>
      <c r="I4" s="67">
        <f>'2 TRIMESTRE'!$G4*'2 TRIMESTRE'!$H4</f>
        <v>5625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63"/>
      <c r="B5" s="64" t="s">
        <v>11</v>
      </c>
      <c r="C5" s="65">
        <v>45614.0</v>
      </c>
      <c r="D5" s="19">
        <v>2500.0</v>
      </c>
      <c r="E5" s="19">
        <v>2500.0</v>
      </c>
      <c r="F5" s="19">
        <v>2500.0</v>
      </c>
      <c r="G5" s="19">
        <f>SUM('2 TRIMESTRE'!$D5:$F5)</f>
        <v>7500</v>
      </c>
      <c r="H5" s="66">
        <v>0.15</v>
      </c>
      <c r="I5" s="67">
        <f>'2 TRIMESTRE'!$G5*'2 TRIMESTRE'!$H5</f>
        <v>1125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21.0" customHeight="1">
      <c r="A6" s="68"/>
      <c r="B6" s="73" t="s">
        <v>12</v>
      </c>
      <c r="C6" s="70">
        <v>45173.0</v>
      </c>
      <c r="D6" s="71">
        <v>9500.0</v>
      </c>
      <c r="E6" s="71">
        <v>9500.0</v>
      </c>
      <c r="F6" s="71">
        <v>9500.0</v>
      </c>
      <c r="G6" s="71">
        <f>SUM('2 TRIMESTRE'!$D6:$F6)</f>
        <v>28500</v>
      </c>
      <c r="H6" s="72">
        <v>0.25</v>
      </c>
      <c r="I6" s="67">
        <f>'2 TRIMESTRE'!$G6*'2 TRIMESTRE'!$H6</f>
        <v>7125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21.0" customHeight="1">
      <c r="A7" s="63"/>
      <c r="B7" s="74" t="s">
        <v>13</v>
      </c>
      <c r="C7" s="65">
        <v>45306.0</v>
      </c>
      <c r="D7" s="75">
        <v>6000.0</v>
      </c>
      <c r="E7" s="19">
        <v>6000.0</v>
      </c>
      <c r="F7" s="19">
        <v>6000.0</v>
      </c>
      <c r="G7" s="19">
        <f>SUM('2 TRIMESTRE'!$D7:$F7)</f>
        <v>18000</v>
      </c>
      <c r="H7" s="66">
        <v>0.15</v>
      </c>
      <c r="I7" s="67">
        <f>'2 TRIMESTRE'!$G7*'2 TRIMESTRE'!$H7</f>
        <v>2700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21.0" customHeight="1">
      <c r="A8" s="68"/>
      <c r="B8" s="76" t="s">
        <v>14</v>
      </c>
      <c r="C8" s="70">
        <v>45391.0</v>
      </c>
      <c r="D8" s="77">
        <v>3500.0</v>
      </c>
      <c r="E8" s="71">
        <v>3500.0</v>
      </c>
      <c r="F8" s="71">
        <v>3500.0</v>
      </c>
      <c r="G8" s="71">
        <f>SUM('2 TRIMESTRE'!$D8:$F8)</f>
        <v>10500</v>
      </c>
      <c r="H8" s="78">
        <v>0.15</v>
      </c>
      <c r="I8" s="67">
        <f>'2 TRIMESTRE'!$G8*'2 TRIMESTRE'!$H8</f>
        <v>1575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21.0" customHeight="1">
      <c r="A9" s="63"/>
      <c r="B9" s="64" t="s">
        <v>15</v>
      </c>
      <c r="C9" s="65">
        <v>46091.0</v>
      </c>
      <c r="D9" s="75">
        <v>1200.0</v>
      </c>
      <c r="E9" s="75">
        <v>1200.0</v>
      </c>
      <c r="F9" s="19">
        <v>1200.0</v>
      </c>
      <c r="G9" s="19">
        <f>SUM('2 TRIMESTRE'!$D9:$F9)</f>
        <v>3600</v>
      </c>
      <c r="H9" s="66">
        <v>0.15</v>
      </c>
      <c r="I9" s="67">
        <f>'2 TRIMESTRE'!$G9*'2 TRIMESTRE'!$H9</f>
        <v>540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21.0" customHeight="1">
      <c r="A10" s="79">
        <v>24.0</v>
      </c>
      <c r="B10" s="73" t="s">
        <v>16</v>
      </c>
      <c r="C10" s="70">
        <v>44013.0</v>
      </c>
      <c r="D10" s="71">
        <v>9000.0</v>
      </c>
      <c r="E10" s="71">
        <v>9000.0</v>
      </c>
      <c r="F10" s="71">
        <v>9000.0</v>
      </c>
      <c r="G10" s="71">
        <f>SUM('2 TRIMESTRE'!$D10:$F10)</f>
        <v>27000</v>
      </c>
      <c r="H10" s="72">
        <v>0.25</v>
      </c>
      <c r="I10" s="67">
        <f>'2 TRIMESTRE'!$G10*'2 TRIMESTRE'!$H10</f>
        <v>6750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21.0" customHeight="1">
      <c r="A11" s="80">
        <v>29.0</v>
      </c>
      <c r="B11" s="74" t="s">
        <v>17</v>
      </c>
      <c r="C11" s="65">
        <v>45251.0</v>
      </c>
      <c r="D11" s="75">
        <v>2667.0</v>
      </c>
      <c r="E11" s="75">
        <v>3500.0</v>
      </c>
      <c r="F11" s="75">
        <v>3500.0</v>
      </c>
      <c r="G11" s="19">
        <f>SUM('2 TRIMESTRE'!$D11:$F11)</f>
        <v>9667</v>
      </c>
      <c r="H11" s="66">
        <v>0.15</v>
      </c>
      <c r="I11" s="67">
        <f>'2 TRIMESTRE'!$G11*'2 TRIMESTRE'!$H11</f>
        <v>1450.05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21.0" customHeight="1">
      <c r="A12" s="79"/>
      <c r="B12" s="76" t="s">
        <v>18</v>
      </c>
      <c r="C12" s="70">
        <v>45839.0</v>
      </c>
      <c r="D12" s="71">
        <v>1200.0</v>
      </c>
      <c r="E12" s="71">
        <v>1200.0</v>
      </c>
      <c r="F12" s="71">
        <v>1200.0</v>
      </c>
      <c r="G12" s="71">
        <f>SUM('2 TRIMESTRE'!$D12:$F12)</f>
        <v>3600</v>
      </c>
      <c r="H12" s="78">
        <v>0.15</v>
      </c>
      <c r="I12" s="67">
        <f>'2 TRIMESTRE'!$G12*'2 TRIMESTRE'!$H12</f>
        <v>540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21.0" customHeight="1">
      <c r="A13" s="80">
        <v>20.0</v>
      </c>
      <c r="B13" s="74" t="s">
        <v>19</v>
      </c>
      <c r="C13" s="65">
        <v>45572.0</v>
      </c>
      <c r="D13" s="19">
        <v>3500.0</v>
      </c>
      <c r="E13" s="19">
        <v>3500.0</v>
      </c>
      <c r="F13" s="19">
        <v>3500.0</v>
      </c>
      <c r="G13" s="19">
        <f>SUM('2 TRIMESTRE'!$D13:$F13)</f>
        <v>10500</v>
      </c>
      <c r="H13" s="66">
        <v>0.15</v>
      </c>
      <c r="I13" s="67">
        <f>'2 TRIMESTRE'!$G13*'2 TRIMESTRE'!$H13</f>
        <v>1575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21.0" customHeight="1">
      <c r="A14" s="79">
        <v>26.0</v>
      </c>
      <c r="B14" s="81" t="s">
        <v>20</v>
      </c>
      <c r="C14" s="70">
        <v>45327.0</v>
      </c>
      <c r="D14" s="77">
        <v>3500.0</v>
      </c>
      <c r="E14" s="71">
        <v>3500.0</v>
      </c>
      <c r="F14" s="71">
        <v>3500.0</v>
      </c>
      <c r="G14" s="71">
        <f>SUM('2 TRIMESTRE'!$D14:$F14)</f>
        <v>10500</v>
      </c>
      <c r="H14" s="78">
        <v>0.15</v>
      </c>
      <c r="I14" s="67">
        <f>'2 TRIMESTRE'!$G14*'2 TRIMESTRE'!$H14</f>
        <v>1575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21.0" customHeight="1">
      <c r="A15" s="80"/>
      <c r="B15" s="74" t="s">
        <v>21</v>
      </c>
      <c r="C15" s="65">
        <v>45742.0</v>
      </c>
      <c r="D15" s="75">
        <v>7500.0</v>
      </c>
      <c r="E15" s="19">
        <v>7500.0</v>
      </c>
      <c r="F15" s="19">
        <v>7500.0</v>
      </c>
      <c r="G15" s="19">
        <f>SUM('2 TRIMESTRE'!$D15:$F15)</f>
        <v>22500</v>
      </c>
      <c r="H15" s="66">
        <v>0.15</v>
      </c>
      <c r="I15" s="67">
        <f>'2 TRIMESTRE'!$G15*'2 TRIMESTRE'!$H15</f>
        <v>3375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21.0" customHeight="1">
      <c r="A16" s="79"/>
      <c r="B16" s="76" t="s">
        <v>23</v>
      </c>
      <c r="C16" s="70">
        <v>46042.0</v>
      </c>
      <c r="D16" s="82">
        <v>2500.0</v>
      </c>
      <c r="E16" s="71">
        <v>2500.0</v>
      </c>
      <c r="F16" s="71">
        <v>2500.0</v>
      </c>
      <c r="G16" s="71">
        <f>SUM('2 TRIMESTRE'!$D16:$F16)</f>
        <v>7500</v>
      </c>
      <c r="H16" s="78">
        <v>0.15</v>
      </c>
      <c r="I16" s="67">
        <f>'2 TRIMESTRE'!$G16*'2 TRIMESTRE'!$H16</f>
        <v>1125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21.0" customHeight="1">
      <c r="A17" s="63">
        <v>5.0</v>
      </c>
      <c r="B17" s="69" t="s">
        <v>25</v>
      </c>
      <c r="C17" s="65">
        <v>45847.0</v>
      </c>
      <c r="D17" s="19">
        <v>7500.0</v>
      </c>
      <c r="E17" s="19">
        <v>7500.0</v>
      </c>
      <c r="F17" s="19">
        <v>7500.0</v>
      </c>
      <c r="G17" s="19">
        <f>SUM('2 TRIMESTRE'!$D17:$F17)</f>
        <v>22500</v>
      </c>
      <c r="H17" s="83">
        <v>0.25</v>
      </c>
      <c r="I17" s="67">
        <f>'2 TRIMESTRE'!$G17*'2 TRIMESTRE'!$H17</f>
        <v>5625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21.0" customHeight="1">
      <c r="A18" s="68"/>
      <c r="B18" s="76" t="s">
        <v>28</v>
      </c>
      <c r="C18" s="70">
        <v>46092.0</v>
      </c>
      <c r="D18" s="77">
        <v>1200.0</v>
      </c>
      <c r="E18" s="77">
        <v>1200.0</v>
      </c>
      <c r="F18" s="71">
        <v>1200.0</v>
      </c>
      <c r="G18" s="71">
        <f>SUM('2 TRIMESTRE'!$D18:$F18)</f>
        <v>3600</v>
      </c>
      <c r="H18" s="78">
        <v>0.15</v>
      </c>
      <c r="I18" s="67">
        <f>'2 TRIMESTRE'!$G18*'2 TRIMESTRE'!$H18</f>
        <v>540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21.0" hidden="1" customHeight="1">
      <c r="A19" s="63">
        <v>16.0</v>
      </c>
      <c r="B19" s="64" t="s">
        <v>29</v>
      </c>
      <c r="C19" s="65"/>
      <c r="D19" s="19">
        <v>3000.0</v>
      </c>
      <c r="E19" s="19"/>
      <c r="F19" s="19"/>
      <c r="G19" s="19">
        <f>SUM('2 TRIMESTRE'!$D19:$F19)</f>
        <v>3000</v>
      </c>
      <c r="H19" s="66">
        <v>0.15</v>
      </c>
      <c r="I19" s="67">
        <f>'2 TRIMESTRE'!$G19*'2 TRIMESTRE'!$H19</f>
        <v>450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21.0" customHeight="1">
      <c r="A20" s="68"/>
      <c r="B20" s="76" t="s">
        <v>30</v>
      </c>
      <c r="C20" s="70">
        <v>46028.0</v>
      </c>
      <c r="D20" s="71">
        <v>4500.0</v>
      </c>
      <c r="E20" s="71">
        <v>4500.0</v>
      </c>
      <c r="F20" s="71">
        <v>4500.0</v>
      </c>
      <c r="G20" s="71">
        <f>SUM('2 TRIMESTRE'!$D20:$F20)</f>
        <v>13500</v>
      </c>
      <c r="H20" s="78">
        <v>0.15</v>
      </c>
      <c r="I20" s="67">
        <f>'2 TRIMESTRE'!$G20*'2 TRIMESTRE'!$H20</f>
        <v>2025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21.0" customHeight="1">
      <c r="A21" s="80">
        <v>12.0</v>
      </c>
      <c r="B21" s="74" t="s">
        <v>31</v>
      </c>
      <c r="C21" s="65">
        <v>45817.0</v>
      </c>
      <c r="D21" s="19">
        <v>3000.0</v>
      </c>
      <c r="E21" s="19">
        <v>3000.0</v>
      </c>
      <c r="F21" s="19">
        <v>3000.0</v>
      </c>
      <c r="G21" s="19">
        <f>SUM('2 TRIMESTRE'!$D21:$F21)</f>
        <v>9000</v>
      </c>
      <c r="H21" s="66">
        <v>0.15</v>
      </c>
      <c r="I21" s="67">
        <f>'2 TRIMESTRE'!$G21*'2 TRIMESTRE'!$H21</f>
        <v>1350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68">
        <v>19.0</v>
      </c>
      <c r="B22" s="69" t="s">
        <v>32</v>
      </c>
      <c r="C22" s="70">
        <v>45870.0</v>
      </c>
      <c r="D22" s="71">
        <v>7500.0</v>
      </c>
      <c r="E22" s="71">
        <v>7500.0</v>
      </c>
      <c r="F22" s="71">
        <v>7500.0</v>
      </c>
      <c r="G22" s="71">
        <f>SUM('2 TRIMESTRE'!$D22:$F22)</f>
        <v>22500</v>
      </c>
      <c r="H22" s="72">
        <v>0.25</v>
      </c>
      <c r="I22" s="67">
        <f>'2 TRIMESTRE'!$G22*'2 TRIMESTRE'!$H22</f>
        <v>5625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21.0" customHeight="1">
      <c r="A23" s="80">
        <v>37.0</v>
      </c>
      <c r="B23" s="74" t="s">
        <v>33</v>
      </c>
      <c r="C23" s="65">
        <v>45251.0</v>
      </c>
      <c r="D23" s="75">
        <v>3500.0</v>
      </c>
      <c r="E23" s="75">
        <v>3500.0</v>
      </c>
      <c r="F23" s="75">
        <v>3500.0</v>
      </c>
      <c r="G23" s="19">
        <f>SUM('2 TRIMESTRE'!$D23:$F23)</f>
        <v>10500</v>
      </c>
      <c r="H23" s="66">
        <v>0.15</v>
      </c>
      <c r="I23" s="67">
        <f>'2 TRIMESTRE'!$G23*'2 TRIMESTRE'!$H23</f>
        <v>1575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79">
        <v>23.0</v>
      </c>
      <c r="B24" s="76" t="s">
        <v>34</v>
      </c>
      <c r="C24" s="70">
        <v>45940.0</v>
      </c>
      <c r="D24" s="77">
        <v>4500.0</v>
      </c>
      <c r="E24" s="77">
        <v>4500.0</v>
      </c>
      <c r="F24" s="77">
        <v>4500.0</v>
      </c>
      <c r="G24" s="71">
        <f>SUM('2 TRIMESTRE'!$D24:$F24)</f>
        <v>13500</v>
      </c>
      <c r="H24" s="78">
        <v>0.15</v>
      </c>
      <c r="I24" s="67">
        <f>'2 TRIMESTRE'!$G24*'2 TRIMESTRE'!$H24</f>
        <v>2025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80"/>
      <c r="B25" s="64" t="s">
        <v>35</v>
      </c>
      <c r="C25" s="65">
        <v>46100.0</v>
      </c>
      <c r="D25" s="75">
        <v>1200.0</v>
      </c>
      <c r="E25" s="75">
        <v>1200.0</v>
      </c>
      <c r="F25" s="75">
        <v>1200.0</v>
      </c>
      <c r="G25" s="19">
        <f>SUM('2 TRIMESTRE'!$D25:$F25)</f>
        <v>3600</v>
      </c>
      <c r="H25" s="66">
        <v>0.15</v>
      </c>
      <c r="I25" s="67">
        <f>'2 TRIMESTRE'!$G25*'2 TRIMESTRE'!$H25</f>
        <v>540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21.0" customHeight="1">
      <c r="A26" s="84">
        <v>42.0</v>
      </c>
      <c r="B26" s="76" t="s">
        <v>36</v>
      </c>
      <c r="C26" s="70">
        <v>46023.0</v>
      </c>
      <c r="D26" s="77">
        <v>6000.0</v>
      </c>
      <c r="E26" s="71">
        <v>6000.0</v>
      </c>
      <c r="F26" s="71">
        <v>6000.0</v>
      </c>
      <c r="G26" s="71">
        <f>SUM('2 TRIMESTRE'!$D26:$F26)</f>
        <v>18000</v>
      </c>
      <c r="H26" s="78">
        <v>0.15</v>
      </c>
      <c r="I26" s="67">
        <f>'2 TRIMESTRE'!$G26*'2 TRIMESTRE'!$H26</f>
        <v>2700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21.0" customHeight="1">
      <c r="A27" s="85">
        <v>43.0</v>
      </c>
      <c r="B27" s="64" t="s">
        <v>37</v>
      </c>
      <c r="C27" s="65">
        <v>46104.0</v>
      </c>
      <c r="D27" s="75">
        <v>10000.0</v>
      </c>
      <c r="E27" s="75">
        <v>10000.0</v>
      </c>
      <c r="F27" s="75">
        <v>10000.0</v>
      </c>
      <c r="G27" s="19">
        <f>SUM('2 TRIMESTRE'!$D27:$F27)</f>
        <v>30000</v>
      </c>
      <c r="H27" s="66">
        <v>0.15</v>
      </c>
      <c r="I27" s="67">
        <f>'2 TRIMESTRE'!$G27*'2 TRIMESTRE'!$H27</f>
        <v>4500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21.0" hidden="1" customHeight="1">
      <c r="A28" s="86"/>
      <c r="B28" s="87"/>
      <c r="C28" s="70"/>
      <c r="D28" s="88"/>
      <c r="E28" s="71"/>
      <c r="F28" s="71"/>
      <c r="G28" s="71">
        <f>SUM('2 TRIMESTRE'!$D28:$F28)</f>
        <v>0</v>
      </c>
      <c r="H28" s="89"/>
      <c r="I28" s="67">
        <f>'2 TRIMESTRE'!$G28*'2 TRIMESTRE'!$H28</f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21.0" customHeight="1">
      <c r="A29" s="90"/>
      <c r="B29" s="91" t="s">
        <v>38</v>
      </c>
      <c r="C29" s="65">
        <v>46048.0</v>
      </c>
      <c r="D29" s="75">
        <v>2500.0</v>
      </c>
      <c r="E29" s="75">
        <v>2500.0</v>
      </c>
      <c r="F29" s="75">
        <v>2500.0</v>
      </c>
      <c r="G29" s="19">
        <f>SUM('2 TRIMESTRE'!$D29:$F29)</f>
        <v>7500</v>
      </c>
      <c r="H29" s="66">
        <v>0.15</v>
      </c>
      <c r="I29" s="67">
        <f>'2 TRIMESTRE'!$G29*'2 TRIMESTRE'!$H29</f>
        <v>1125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21.0" customHeight="1">
      <c r="A30" s="86"/>
      <c r="B30" s="76" t="s">
        <v>44</v>
      </c>
      <c r="C30" s="70">
        <v>46125.0</v>
      </c>
      <c r="D30" s="77">
        <f>18*40</f>
        <v>720</v>
      </c>
      <c r="E30" s="77">
        <v>1200.0</v>
      </c>
      <c r="F30" s="77">
        <v>1200.0</v>
      </c>
      <c r="G30" s="71">
        <f>SUM('2 TRIMESTRE'!$D30:$F30)</f>
        <v>3120</v>
      </c>
      <c r="H30" s="78">
        <v>0.15</v>
      </c>
      <c r="I30" s="67">
        <f>'2 TRIMESTRE'!$G30*'2 TRIMESTRE'!$H30</f>
        <v>468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21.0" customHeight="1">
      <c r="A31" s="90"/>
      <c r="B31" s="64" t="s">
        <v>45</v>
      </c>
      <c r="C31" s="65">
        <v>46153.0</v>
      </c>
      <c r="D31" s="92">
        <v>0.0</v>
      </c>
      <c r="E31" s="75">
        <v>10500.0</v>
      </c>
      <c r="F31" s="75">
        <v>15000.0</v>
      </c>
      <c r="G31" s="19">
        <f>SUM('2 TRIMESTRE'!$D31:$F31)</f>
        <v>25500</v>
      </c>
      <c r="H31" s="66">
        <v>0.15</v>
      </c>
      <c r="I31" s="67">
        <f>'2 TRIMESTRE'!$G31*'2 TRIMESTRE'!$H31</f>
        <v>3825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21.0" customHeight="1">
      <c r="A32" s="86"/>
      <c r="B32" s="76" t="s">
        <v>46</v>
      </c>
      <c r="C32" s="70">
        <v>46125.0</v>
      </c>
      <c r="D32" s="77">
        <f>18*40</f>
        <v>720</v>
      </c>
      <c r="E32" s="77">
        <v>1200.0</v>
      </c>
      <c r="F32" s="77">
        <v>1200.0</v>
      </c>
      <c r="G32" s="71">
        <f>SUM('2 TRIMESTRE'!$D32:$F32)</f>
        <v>3120</v>
      </c>
      <c r="H32" s="78">
        <v>0.15</v>
      </c>
      <c r="I32" s="67">
        <f>'2 TRIMESTRE'!$G32*'2 TRIMESTRE'!$H32</f>
        <v>468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21.0" customHeight="1">
      <c r="A33" s="90"/>
      <c r="B33" s="64" t="s">
        <v>47</v>
      </c>
      <c r="C33" s="65">
        <v>46174.0</v>
      </c>
      <c r="D33" s="75">
        <v>0.0</v>
      </c>
      <c r="E33" s="75">
        <v>6000.0</v>
      </c>
      <c r="F33" s="75">
        <v>6000.0</v>
      </c>
      <c r="G33" s="19">
        <f>SUM('2 TRIMESTRE'!$D33:$F33)</f>
        <v>12000</v>
      </c>
      <c r="H33" s="66">
        <v>0.15</v>
      </c>
      <c r="I33" s="67">
        <f>'2 TRIMESTRE'!$G33*'2 TRIMESTRE'!$H33</f>
        <v>1800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21.0" customHeight="1">
      <c r="A34" s="86"/>
      <c r="B34" s="76" t="s">
        <v>48</v>
      </c>
      <c r="C34" s="70">
        <v>46153.0</v>
      </c>
      <c r="D34" s="77">
        <v>0.0</v>
      </c>
      <c r="E34" s="77">
        <v>5600.0</v>
      </c>
      <c r="F34" s="77">
        <v>8000.0</v>
      </c>
      <c r="G34" s="71">
        <f>SUM('2 TRIMESTRE'!$D34:$F34)</f>
        <v>13600</v>
      </c>
      <c r="H34" s="78">
        <v>0.15</v>
      </c>
      <c r="I34" s="67">
        <f>'2 TRIMESTRE'!$G34*'2 TRIMESTRE'!$H34</f>
        <v>2040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21.0" customHeight="1">
      <c r="A35" s="90"/>
      <c r="B35" s="64" t="s">
        <v>49</v>
      </c>
      <c r="C35" s="65">
        <v>46135.0</v>
      </c>
      <c r="D35" s="75">
        <f>8*40</f>
        <v>320</v>
      </c>
      <c r="E35" s="75">
        <v>1200.0</v>
      </c>
      <c r="F35" s="75">
        <v>1200.0</v>
      </c>
      <c r="G35" s="19">
        <f>SUM('2 TRIMESTRE'!$D35:$F35)</f>
        <v>2720</v>
      </c>
      <c r="H35" s="66">
        <v>0.15</v>
      </c>
      <c r="I35" s="67">
        <f>'2 TRIMESTRE'!$G35*'2 TRIMESTRE'!$H35</f>
        <v>408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21.0" customHeight="1">
      <c r="A36" s="86"/>
      <c r="B36" s="76" t="s">
        <v>50</v>
      </c>
      <c r="C36" s="70">
        <v>46125.0</v>
      </c>
      <c r="D36" s="77">
        <f t="shared" ref="D36:D37" si="1">18*40</f>
        <v>720</v>
      </c>
      <c r="E36" s="77">
        <v>1200.0</v>
      </c>
      <c r="F36" s="77">
        <v>1200.0</v>
      </c>
      <c r="G36" s="71">
        <f>SUM('2 TRIMESTRE'!$D36:$F36)</f>
        <v>3120</v>
      </c>
      <c r="H36" s="78">
        <v>0.15</v>
      </c>
      <c r="I36" s="67">
        <f>'2 TRIMESTRE'!$G36*'2 TRIMESTRE'!$H36</f>
        <v>468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21.0" customHeight="1">
      <c r="A37" s="90"/>
      <c r="B37" s="64" t="s">
        <v>51</v>
      </c>
      <c r="C37" s="65">
        <v>46125.0</v>
      </c>
      <c r="D37" s="75">
        <f t="shared" si="1"/>
        <v>720</v>
      </c>
      <c r="E37" s="75">
        <v>1200.0</v>
      </c>
      <c r="F37" s="75">
        <v>1200.0</v>
      </c>
      <c r="G37" s="19">
        <f>SUM('2 TRIMESTRE'!$D37:$F37)</f>
        <v>3120</v>
      </c>
      <c r="H37" s="66">
        <v>0.15</v>
      </c>
      <c r="I37" s="67">
        <f>'2 TRIMESTRE'!$G37*'2 TRIMESTRE'!$H37</f>
        <v>468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21.0" customHeight="1">
      <c r="A38" s="86"/>
      <c r="B38" s="76" t="s">
        <v>52</v>
      </c>
      <c r="C38" s="70">
        <v>46148.0</v>
      </c>
      <c r="D38" s="77">
        <v>0.0</v>
      </c>
      <c r="E38" s="77">
        <f>25*40</f>
        <v>1000</v>
      </c>
      <c r="F38" s="77">
        <v>1200.0</v>
      </c>
      <c r="G38" s="71">
        <f>SUM('2 TRIMESTRE'!$D38:$F38)</f>
        <v>2200</v>
      </c>
      <c r="H38" s="78">
        <v>0.15</v>
      </c>
      <c r="I38" s="67">
        <f>'2 TRIMESTRE'!$G38*'2 TRIMESTRE'!$H38</f>
        <v>330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21.0" customHeight="1">
      <c r="A39" s="90"/>
      <c r="B39" s="64" t="s">
        <v>53</v>
      </c>
      <c r="C39" s="65">
        <v>46181.0</v>
      </c>
      <c r="D39" s="75">
        <v>0.0</v>
      </c>
      <c r="E39" s="75">
        <v>0.0</v>
      </c>
      <c r="F39" s="75">
        <f>23*40</f>
        <v>920</v>
      </c>
      <c r="G39" s="19">
        <f>SUM('2 TRIMESTRE'!$D39:$F39)</f>
        <v>920</v>
      </c>
      <c r="H39" s="66">
        <v>0.15</v>
      </c>
      <c r="I39" s="67">
        <f>'2 TRIMESTRE'!$G39*'2 TRIMESTRE'!$H39</f>
        <v>138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21.0" customHeight="1">
      <c r="A40" s="86"/>
      <c r="B40" s="76" t="s">
        <v>54</v>
      </c>
      <c r="C40" s="70">
        <v>46134.0</v>
      </c>
      <c r="D40" s="77">
        <f>18*40</f>
        <v>720</v>
      </c>
      <c r="E40" s="77">
        <v>1200.0</v>
      </c>
      <c r="F40" s="77">
        <v>1200.0</v>
      </c>
      <c r="G40" s="71">
        <f>SUM('2 TRIMESTRE'!$D40:$F40)</f>
        <v>3120</v>
      </c>
      <c r="H40" s="78">
        <v>0.15</v>
      </c>
      <c r="I40" s="67">
        <f>'2 TRIMESTRE'!$G40*'2 TRIMESTRE'!$H40</f>
        <v>468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90"/>
      <c r="B41" s="63"/>
      <c r="C41" s="93"/>
      <c r="D41" s="94"/>
      <c r="E41" s="94"/>
      <c r="F41" s="94"/>
      <c r="G41" s="95"/>
      <c r="H41" s="96"/>
      <c r="I41" s="97">
        <f>SUM(I3:I40)</f>
        <v>77416.05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0"/>
      <c r="B42" s="50"/>
      <c r="C42" s="51"/>
      <c r="D42" s="52"/>
      <c r="E42" s="52"/>
      <c r="F42" s="52"/>
      <c r="G42" s="5"/>
      <c r="H42" s="53"/>
      <c r="I42" s="9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0"/>
      <c r="B43" s="50"/>
      <c r="C43" s="51"/>
      <c r="D43" s="52"/>
      <c r="E43" s="52"/>
      <c r="F43" s="52"/>
      <c r="G43" s="5"/>
      <c r="H43" s="53"/>
      <c r="I43" s="9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0"/>
      <c r="B44" s="50"/>
      <c r="C44" s="51"/>
      <c r="D44" s="52"/>
      <c r="E44" s="52"/>
      <c r="F44" s="52"/>
      <c r="G44" s="5"/>
      <c r="H44" s="53"/>
      <c r="I44" s="9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0"/>
      <c r="B45" s="50"/>
      <c r="C45" s="51"/>
      <c r="D45" s="52"/>
      <c r="E45" s="52"/>
      <c r="F45" s="52"/>
      <c r="G45" s="5"/>
      <c r="H45" s="53"/>
      <c r="I45" s="9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0"/>
      <c r="B46" s="50"/>
      <c r="C46" s="51"/>
      <c r="D46" s="52"/>
      <c r="E46" s="52"/>
      <c r="F46" s="52"/>
      <c r="G46" s="5"/>
      <c r="H46" s="53"/>
      <c r="I46" s="9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0"/>
      <c r="B47" s="50"/>
      <c r="C47" s="51"/>
      <c r="D47" s="52"/>
      <c r="E47" s="52"/>
      <c r="F47" s="52"/>
      <c r="G47" s="5"/>
      <c r="H47" s="53"/>
      <c r="I47" s="9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0"/>
      <c r="B48" s="50"/>
      <c r="C48" s="51"/>
      <c r="D48" s="52"/>
      <c r="E48" s="52"/>
      <c r="F48" s="52"/>
      <c r="G48" s="5"/>
      <c r="H48" s="53"/>
      <c r="I48" s="9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0"/>
      <c r="B49" s="50"/>
      <c r="C49" s="51"/>
      <c r="D49" s="52"/>
      <c r="E49" s="52"/>
      <c r="F49" s="52"/>
      <c r="G49" s="5"/>
      <c r="H49" s="53"/>
      <c r="I49" s="9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0"/>
      <c r="B50" s="50"/>
      <c r="C50" s="51"/>
      <c r="D50" s="52"/>
      <c r="E50" s="52"/>
      <c r="F50" s="52"/>
      <c r="G50" s="5"/>
      <c r="H50" s="53"/>
      <c r="I50" s="9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0"/>
      <c r="B51" s="50"/>
      <c r="C51" s="51"/>
      <c r="D51" s="52"/>
      <c r="E51" s="52"/>
      <c r="F51" s="52"/>
      <c r="G51" s="5"/>
      <c r="H51" s="53"/>
      <c r="I51" s="9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0"/>
      <c r="B52" s="50"/>
      <c r="C52" s="51"/>
      <c r="D52" s="52"/>
      <c r="E52" s="52"/>
      <c r="F52" s="52"/>
      <c r="G52" s="5"/>
      <c r="H52" s="53"/>
      <c r="I52" s="9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0"/>
      <c r="B53" s="50"/>
      <c r="C53" s="51"/>
      <c r="D53" s="52"/>
      <c r="E53" s="52"/>
      <c r="F53" s="52"/>
      <c r="G53" s="5"/>
      <c r="H53" s="53"/>
      <c r="I53" s="9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0"/>
      <c r="B54" s="50"/>
      <c r="C54" s="51"/>
      <c r="D54" s="52"/>
      <c r="E54" s="52"/>
      <c r="F54" s="52"/>
      <c r="G54" s="5"/>
      <c r="H54" s="53"/>
      <c r="I54" s="9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0"/>
      <c r="B55" s="50"/>
      <c r="C55" s="51"/>
      <c r="D55" s="52"/>
      <c r="E55" s="52"/>
      <c r="F55" s="52"/>
      <c r="G55" s="5"/>
      <c r="H55" s="53"/>
      <c r="I55" s="9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0"/>
      <c r="B56" s="50"/>
      <c r="C56" s="51"/>
      <c r="D56" s="52"/>
      <c r="E56" s="52"/>
      <c r="F56" s="52"/>
      <c r="G56" s="5"/>
      <c r="H56" s="53"/>
      <c r="I56" s="9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0"/>
      <c r="B57" s="50"/>
      <c r="C57" s="51"/>
      <c r="D57" s="52"/>
      <c r="E57" s="52"/>
      <c r="F57" s="52"/>
      <c r="G57" s="5"/>
      <c r="H57" s="53"/>
      <c r="I57" s="9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0"/>
      <c r="B58" s="50"/>
      <c r="C58" s="51"/>
      <c r="D58" s="52"/>
      <c r="E58" s="52"/>
      <c r="F58" s="52"/>
      <c r="G58" s="5"/>
      <c r="H58" s="53"/>
      <c r="I58" s="9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0"/>
      <c r="B59" s="50"/>
      <c r="C59" s="51"/>
      <c r="D59" s="52"/>
      <c r="E59" s="52"/>
      <c r="F59" s="52"/>
      <c r="G59" s="5"/>
      <c r="H59" s="53"/>
      <c r="I59" s="9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0"/>
      <c r="B60" s="50"/>
      <c r="C60" s="51"/>
      <c r="D60" s="52"/>
      <c r="E60" s="52"/>
      <c r="F60" s="52"/>
      <c r="G60" s="5"/>
      <c r="H60" s="53"/>
      <c r="I60" s="9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0"/>
      <c r="B61" s="50"/>
      <c r="C61" s="51"/>
      <c r="D61" s="52"/>
      <c r="E61" s="52"/>
      <c r="F61" s="52"/>
      <c r="G61" s="5"/>
      <c r="H61" s="53"/>
      <c r="I61" s="9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0"/>
      <c r="B62" s="50"/>
      <c r="C62" s="51"/>
      <c r="D62" s="52"/>
      <c r="E62" s="52"/>
      <c r="F62" s="52"/>
      <c r="G62" s="5"/>
      <c r="H62" s="53"/>
      <c r="I62" s="98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0"/>
      <c r="B63" s="50"/>
      <c r="C63" s="51"/>
      <c r="D63" s="52"/>
      <c r="E63" s="52"/>
      <c r="F63" s="52"/>
      <c r="G63" s="5"/>
      <c r="H63" s="53"/>
      <c r="I63" s="9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0"/>
      <c r="B64" s="50"/>
      <c r="C64" s="51"/>
      <c r="D64" s="52"/>
      <c r="E64" s="52"/>
      <c r="F64" s="52"/>
      <c r="G64" s="5"/>
      <c r="H64" s="53"/>
      <c r="I64" s="9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0"/>
      <c r="B65" s="50"/>
      <c r="C65" s="51"/>
      <c r="D65" s="52"/>
      <c r="E65" s="52"/>
      <c r="F65" s="52"/>
      <c r="G65" s="5"/>
      <c r="H65" s="53"/>
      <c r="I65" s="9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0"/>
      <c r="B66" s="50"/>
      <c r="C66" s="51"/>
      <c r="D66" s="52"/>
      <c r="E66" s="52"/>
      <c r="F66" s="52"/>
      <c r="G66" s="5"/>
      <c r="H66" s="53"/>
      <c r="I66" s="9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0"/>
      <c r="B67" s="50"/>
      <c r="C67" s="51"/>
      <c r="D67" s="52"/>
      <c r="E67" s="52"/>
      <c r="F67" s="52"/>
      <c r="G67" s="5"/>
      <c r="H67" s="53"/>
      <c r="I67" s="9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0"/>
      <c r="B68" s="50"/>
      <c r="C68" s="51"/>
      <c r="D68" s="52"/>
      <c r="E68" s="52"/>
      <c r="F68" s="52"/>
      <c r="G68" s="5"/>
      <c r="H68" s="53"/>
      <c r="I68" s="9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0"/>
      <c r="B69" s="50"/>
      <c r="C69" s="51"/>
      <c r="D69" s="52"/>
      <c r="E69" s="52"/>
      <c r="F69" s="52"/>
      <c r="G69" s="5"/>
      <c r="H69" s="53"/>
      <c r="I69" s="9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0"/>
      <c r="B70" s="50"/>
      <c r="C70" s="51"/>
      <c r="D70" s="52"/>
      <c r="E70" s="52"/>
      <c r="F70" s="52"/>
      <c r="G70" s="5"/>
      <c r="H70" s="53"/>
      <c r="I70" s="9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0"/>
      <c r="B71" s="50"/>
      <c r="C71" s="51"/>
      <c r="D71" s="52"/>
      <c r="E71" s="52"/>
      <c r="F71" s="52"/>
      <c r="G71" s="5"/>
      <c r="H71" s="53"/>
      <c r="I71" s="9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0"/>
      <c r="B72" s="50"/>
      <c r="C72" s="51"/>
      <c r="D72" s="52"/>
      <c r="E72" s="52"/>
      <c r="F72" s="52"/>
      <c r="G72" s="5"/>
      <c r="H72" s="53"/>
      <c r="I72" s="9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0"/>
      <c r="B73" s="50"/>
      <c r="C73" s="51"/>
      <c r="D73" s="52"/>
      <c r="E73" s="52"/>
      <c r="F73" s="52"/>
      <c r="G73" s="5"/>
      <c r="H73" s="53"/>
      <c r="I73" s="9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0"/>
      <c r="B74" s="50"/>
      <c r="C74" s="51"/>
      <c r="D74" s="52"/>
      <c r="E74" s="52"/>
      <c r="F74" s="52"/>
      <c r="G74" s="5"/>
      <c r="H74" s="53"/>
      <c r="I74" s="9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0"/>
      <c r="B75" s="50"/>
      <c r="C75" s="51"/>
      <c r="D75" s="52"/>
      <c r="E75" s="52"/>
      <c r="F75" s="52"/>
      <c r="G75" s="5"/>
      <c r="H75" s="53"/>
      <c r="I75" s="9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0"/>
      <c r="B76" s="50"/>
      <c r="C76" s="51"/>
      <c r="D76" s="52"/>
      <c r="E76" s="52"/>
      <c r="F76" s="52"/>
      <c r="G76" s="5"/>
      <c r="H76" s="53"/>
      <c r="I76" s="9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0"/>
      <c r="B77" s="50"/>
      <c r="C77" s="51"/>
      <c r="D77" s="52"/>
      <c r="E77" s="52"/>
      <c r="F77" s="52"/>
      <c r="G77" s="5"/>
      <c r="H77" s="53"/>
      <c r="I77" s="9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0"/>
      <c r="B78" s="50"/>
      <c r="C78" s="51"/>
      <c r="D78" s="52"/>
      <c r="E78" s="52"/>
      <c r="F78" s="52"/>
      <c r="G78" s="5"/>
      <c r="H78" s="53"/>
      <c r="I78" s="9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0"/>
      <c r="B79" s="50"/>
      <c r="C79" s="51"/>
      <c r="D79" s="52"/>
      <c r="E79" s="52"/>
      <c r="F79" s="52"/>
      <c r="G79" s="5"/>
      <c r="H79" s="53"/>
      <c r="I79" s="9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0"/>
      <c r="B80" s="50"/>
      <c r="C80" s="51"/>
      <c r="D80" s="52"/>
      <c r="E80" s="52"/>
      <c r="F80" s="52"/>
      <c r="G80" s="5"/>
      <c r="H80" s="53"/>
      <c r="I80" s="9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0"/>
      <c r="B81" s="50"/>
      <c r="C81" s="51"/>
      <c r="D81" s="52"/>
      <c r="E81" s="52"/>
      <c r="F81" s="52"/>
      <c r="G81" s="5"/>
      <c r="H81" s="53"/>
      <c r="I81" s="9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0"/>
      <c r="B82" s="50"/>
      <c r="C82" s="51"/>
      <c r="D82" s="52"/>
      <c r="E82" s="52"/>
      <c r="F82" s="52"/>
      <c r="G82" s="5"/>
      <c r="H82" s="53"/>
      <c r="I82" s="9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0"/>
      <c r="B83" s="50"/>
      <c r="C83" s="51"/>
      <c r="D83" s="52"/>
      <c r="E83" s="52"/>
      <c r="F83" s="52"/>
      <c r="G83" s="5"/>
      <c r="H83" s="53"/>
      <c r="I83" s="9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0"/>
      <c r="B84" s="50"/>
      <c r="C84" s="51"/>
      <c r="D84" s="52"/>
      <c r="E84" s="52"/>
      <c r="F84" s="52"/>
      <c r="G84" s="5"/>
      <c r="H84" s="53"/>
      <c r="I84" s="9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0"/>
      <c r="B85" s="50"/>
      <c r="C85" s="51"/>
      <c r="D85" s="52"/>
      <c r="E85" s="52"/>
      <c r="F85" s="52"/>
      <c r="G85" s="5"/>
      <c r="H85" s="53"/>
      <c r="I85" s="9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0"/>
      <c r="B86" s="50"/>
      <c r="C86" s="51"/>
      <c r="D86" s="52"/>
      <c r="E86" s="52"/>
      <c r="F86" s="52"/>
      <c r="G86" s="5"/>
      <c r="H86" s="53"/>
      <c r="I86" s="9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0"/>
      <c r="B87" s="50"/>
      <c r="C87" s="51"/>
      <c r="D87" s="52"/>
      <c r="E87" s="52"/>
      <c r="F87" s="52"/>
      <c r="G87" s="5"/>
      <c r="H87" s="53"/>
      <c r="I87" s="9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0"/>
      <c r="B88" s="50"/>
      <c r="C88" s="51"/>
      <c r="D88" s="52"/>
      <c r="E88" s="52"/>
      <c r="F88" s="52"/>
      <c r="G88" s="5"/>
      <c r="H88" s="53"/>
      <c r="I88" s="9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0"/>
      <c r="B89" s="50"/>
      <c r="C89" s="51"/>
      <c r="D89" s="52"/>
      <c r="E89" s="52"/>
      <c r="F89" s="52"/>
      <c r="G89" s="5"/>
      <c r="H89" s="53"/>
      <c r="I89" s="9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0"/>
      <c r="B90" s="50"/>
      <c r="C90" s="51"/>
      <c r="D90" s="52"/>
      <c r="E90" s="52"/>
      <c r="F90" s="52"/>
      <c r="G90" s="5"/>
      <c r="H90" s="53"/>
      <c r="I90" s="9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0"/>
      <c r="B91" s="50"/>
      <c r="C91" s="51"/>
      <c r="D91" s="52"/>
      <c r="E91" s="52"/>
      <c r="F91" s="52"/>
      <c r="G91" s="5"/>
      <c r="H91" s="53"/>
      <c r="I91" s="9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0"/>
      <c r="B92" s="50"/>
      <c r="C92" s="51"/>
      <c r="D92" s="52"/>
      <c r="E92" s="52"/>
      <c r="F92" s="52"/>
      <c r="G92" s="5"/>
      <c r="H92" s="53"/>
      <c r="I92" s="9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0"/>
      <c r="B93" s="50"/>
      <c r="C93" s="51"/>
      <c r="D93" s="52"/>
      <c r="E93" s="52"/>
      <c r="F93" s="52"/>
      <c r="G93" s="5"/>
      <c r="H93" s="53"/>
      <c r="I93" s="9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0"/>
      <c r="B94" s="50"/>
      <c r="C94" s="51"/>
      <c r="D94" s="52"/>
      <c r="E94" s="52"/>
      <c r="F94" s="52"/>
      <c r="G94" s="5"/>
      <c r="H94" s="53"/>
      <c r="I94" s="9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0"/>
      <c r="B95" s="50"/>
      <c r="C95" s="51"/>
      <c r="D95" s="52"/>
      <c r="E95" s="52"/>
      <c r="F95" s="52"/>
      <c r="G95" s="5"/>
      <c r="H95" s="53"/>
      <c r="I95" s="9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0"/>
      <c r="B96" s="50"/>
      <c r="C96" s="51"/>
      <c r="D96" s="52"/>
      <c r="E96" s="52"/>
      <c r="F96" s="52"/>
      <c r="G96" s="5"/>
      <c r="H96" s="53"/>
      <c r="I96" s="9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0"/>
      <c r="B97" s="50"/>
      <c r="C97" s="51"/>
      <c r="D97" s="52"/>
      <c r="E97" s="52"/>
      <c r="F97" s="52"/>
      <c r="G97" s="5"/>
      <c r="H97" s="53"/>
      <c r="I97" s="9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0"/>
      <c r="B98" s="50"/>
      <c r="C98" s="51"/>
      <c r="D98" s="52"/>
      <c r="E98" s="52"/>
      <c r="F98" s="52"/>
      <c r="G98" s="5"/>
      <c r="H98" s="53"/>
      <c r="I98" s="9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0"/>
      <c r="B99" s="50"/>
      <c r="C99" s="51"/>
      <c r="D99" s="52"/>
      <c r="E99" s="52"/>
      <c r="F99" s="52"/>
      <c r="G99" s="5"/>
      <c r="H99" s="53"/>
      <c r="I99" s="9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0"/>
      <c r="B100" s="50"/>
      <c r="C100" s="51"/>
      <c r="D100" s="52"/>
      <c r="E100" s="52"/>
      <c r="F100" s="52"/>
      <c r="G100" s="5"/>
      <c r="H100" s="53"/>
      <c r="I100" s="9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0"/>
      <c r="B101" s="50"/>
      <c r="C101" s="51"/>
      <c r="D101" s="52"/>
      <c r="E101" s="52"/>
      <c r="F101" s="52"/>
      <c r="G101" s="5"/>
      <c r="H101" s="53"/>
      <c r="I101" s="9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0"/>
      <c r="B102" s="50"/>
      <c r="C102" s="51"/>
      <c r="D102" s="52"/>
      <c r="E102" s="52"/>
      <c r="F102" s="52"/>
      <c r="G102" s="5"/>
      <c r="H102" s="53"/>
      <c r="I102" s="9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0"/>
      <c r="B103" s="50"/>
      <c r="C103" s="51"/>
      <c r="D103" s="52"/>
      <c r="E103" s="52"/>
      <c r="F103" s="52"/>
      <c r="G103" s="5"/>
      <c r="H103" s="53"/>
      <c r="I103" s="9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0"/>
      <c r="B104" s="50"/>
      <c r="C104" s="51"/>
      <c r="D104" s="52"/>
      <c r="E104" s="52"/>
      <c r="F104" s="52"/>
      <c r="G104" s="5"/>
      <c r="H104" s="53"/>
      <c r="I104" s="9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0"/>
      <c r="B105" s="50"/>
      <c r="C105" s="51"/>
      <c r="D105" s="52"/>
      <c r="E105" s="52"/>
      <c r="F105" s="52"/>
      <c r="G105" s="5"/>
      <c r="H105" s="53"/>
      <c r="I105" s="9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0"/>
      <c r="B106" s="50"/>
      <c r="C106" s="51"/>
      <c r="D106" s="52"/>
      <c r="E106" s="52"/>
      <c r="F106" s="52"/>
      <c r="G106" s="5"/>
      <c r="H106" s="53"/>
      <c r="I106" s="9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0"/>
      <c r="B107" s="50"/>
      <c r="C107" s="51"/>
      <c r="D107" s="52"/>
      <c r="E107" s="52"/>
      <c r="F107" s="52"/>
      <c r="G107" s="5"/>
      <c r="H107" s="53"/>
      <c r="I107" s="9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0"/>
      <c r="B108" s="50"/>
      <c r="C108" s="51"/>
      <c r="D108" s="52"/>
      <c r="E108" s="52"/>
      <c r="F108" s="52"/>
      <c r="G108" s="5"/>
      <c r="H108" s="53"/>
      <c r="I108" s="9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0"/>
      <c r="B109" s="50"/>
      <c r="C109" s="51"/>
      <c r="D109" s="52"/>
      <c r="E109" s="52"/>
      <c r="F109" s="52"/>
      <c r="G109" s="5"/>
      <c r="H109" s="53"/>
      <c r="I109" s="9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0"/>
      <c r="B110" s="50"/>
      <c r="C110" s="51"/>
      <c r="D110" s="52"/>
      <c r="E110" s="52"/>
      <c r="F110" s="52"/>
      <c r="G110" s="5"/>
      <c r="H110" s="53"/>
      <c r="I110" s="9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0"/>
      <c r="B111" s="50"/>
      <c r="C111" s="51"/>
      <c r="D111" s="52"/>
      <c r="E111" s="52"/>
      <c r="F111" s="52"/>
      <c r="G111" s="5"/>
      <c r="H111" s="53"/>
      <c r="I111" s="9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0"/>
      <c r="B112" s="50"/>
      <c r="C112" s="51"/>
      <c r="D112" s="52"/>
      <c r="E112" s="52"/>
      <c r="F112" s="52"/>
      <c r="G112" s="5"/>
      <c r="H112" s="53"/>
      <c r="I112" s="9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0"/>
      <c r="B113" s="50"/>
      <c r="C113" s="51"/>
      <c r="D113" s="52"/>
      <c r="E113" s="52"/>
      <c r="F113" s="52"/>
      <c r="G113" s="5"/>
      <c r="H113" s="53"/>
      <c r="I113" s="9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0"/>
      <c r="B114" s="50"/>
      <c r="C114" s="51"/>
      <c r="D114" s="52"/>
      <c r="E114" s="52"/>
      <c r="F114" s="52"/>
      <c r="G114" s="5"/>
      <c r="H114" s="53"/>
      <c r="I114" s="9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0"/>
      <c r="B115" s="50"/>
      <c r="C115" s="51"/>
      <c r="D115" s="52"/>
      <c r="E115" s="52"/>
      <c r="F115" s="52"/>
      <c r="G115" s="5"/>
      <c r="H115" s="53"/>
      <c r="I115" s="9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0"/>
      <c r="B116" s="50"/>
      <c r="C116" s="51"/>
      <c r="D116" s="52"/>
      <c r="E116" s="52"/>
      <c r="F116" s="52"/>
      <c r="G116" s="5"/>
      <c r="H116" s="53"/>
      <c r="I116" s="9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0"/>
      <c r="B117" s="50"/>
      <c r="C117" s="51"/>
      <c r="D117" s="52"/>
      <c r="E117" s="52"/>
      <c r="F117" s="52"/>
      <c r="G117" s="5"/>
      <c r="H117" s="53"/>
      <c r="I117" s="9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0"/>
      <c r="B118" s="50"/>
      <c r="C118" s="51"/>
      <c r="D118" s="52"/>
      <c r="E118" s="52"/>
      <c r="F118" s="52"/>
      <c r="G118" s="5"/>
      <c r="H118" s="53"/>
      <c r="I118" s="9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0"/>
      <c r="B119" s="50"/>
      <c r="C119" s="51"/>
      <c r="D119" s="52"/>
      <c r="E119" s="52"/>
      <c r="F119" s="52"/>
      <c r="G119" s="5"/>
      <c r="H119" s="53"/>
      <c r="I119" s="9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0"/>
      <c r="B120" s="50"/>
      <c r="C120" s="51"/>
      <c r="D120" s="52"/>
      <c r="E120" s="52"/>
      <c r="F120" s="52"/>
      <c r="G120" s="5"/>
      <c r="H120" s="53"/>
      <c r="I120" s="9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0"/>
      <c r="B121" s="50"/>
      <c r="C121" s="51"/>
      <c r="D121" s="52"/>
      <c r="E121" s="52"/>
      <c r="F121" s="52"/>
      <c r="G121" s="5"/>
      <c r="H121" s="53"/>
      <c r="I121" s="9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0"/>
      <c r="B122" s="50"/>
      <c r="C122" s="51"/>
      <c r="D122" s="52"/>
      <c r="E122" s="52"/>
      <c r="F122" s="52"/>
      <c r="G122" s="5"/>
      <c r="H122" s="53"/>
      <c r="I122" s="9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0"/>
      <c r="B123" s="50"/>
      <c r="C123" s="51"/>
      <c r="D123" s="52"/>
      <c r="E123" s="52"/>
      <c r="F123" s="52"/>
      <c r="G123" s="5"/>
      <c r="H123" s="53"/>
      <c r="I123" s="9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0"/>
      <c r="B124" s="50"/>
      <c r="C124" s="51"/>
      <c r="D124" s="52"/>
      <c r="E124" s="52"/>
      <c r="F124" s="52"/>
      <c r="G124" s="5"/>
      <c r="H124" s="53"/>
      <c r="I124" s="9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0"/>
      <c r="B125" s="50"/>
      <c r="C125" s="51"/>
      <c r="D125" s="52"/>
      <c r="E125" s="52"/>
      <c r="F125" s="52"/>
      <c r="G125" s="5"/>
      <c r="H125" s="53"/>
      <c r="I125" s="9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0"/>
      <c r="B126" s="50"/>
      <c r="C126" s="51"/>
      <c r="D126" s="52"/>
      <c r="E126" s="52"/>
      <c r="F126" s="52"/>
      <c r="G126" s="5"/>
      <c r="H126" s="53"/>
      <c r="I126" s="9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0"/>
      <c r="B127" s="50"/>
      <c r="C127" s="51"/>
      <c r="D127" s="52"/>
      <c r="E127" s="52"/>
      <c r="F127" s="52"/>
      <c r="G127" s="5"/>
      <c r="H127" s="53"/>
      <c r="I127" s="9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0"/>
      <c r="B128" s="50"/>
      <c r="C128" s="51"/>
      <c r="D128" s="52"/>
      <c r="E128" s="52"/>
      <c r="F128" s="52"/>
      <c r="G128" s="5"/>
      <c r="H128" s="53"/>
      <c r="I128" s="9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0"/>
      <c r="B129" s="50"/>
      <c r="C129" s="51"/>
      <c r="D129" s="52"/>
      <c r="E129" s="52"/>
      <c r="F129" s="52"/>
      <c r="G129" s="5"/>
      <c r="H129" s="53"/>
      <c r="I129" s="9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0"/>
      <c r="B130" s="50"/>
      <c r="C130" s="51"/>
      <c r="D130" s="52"/>
      <c r="E130" s="52"/>
      <c r="F130" s="52"/>
      <c r="G130" s="5"/>
      <c r="H130" s="53"/>
      <c r="I130" s="9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0"/>
      <c r="B131" s="50"/>
      <c r="C131" s="51"/>
      <c r="D131" s="52"/>
      <c r="E131" s="52"/>
      <c r="F131" s="52"/>
      <c r="G131" s="5"/>
      <c r="H131" s="53"/>
      <c r="I131" s="9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0"/>
      <c r="B132" s="50"/>
      <c r="C132" s="51"/>
      <c r="D132" s="52"/>
      <c r="E132" s="52"/>
      <c r="F132" s="52"/>
      <c r="G132" s="5"/>
      <c r="H132" s="53"/>
      <c r="I132" s="9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0"/>
      <c r="B133" s="50"/>
      <c r="C133" s="51"/>
      <c r="D133" s="52"/>
      <c r="E133" s="52"/>
      <c r="F133" s="52"/>
      <c r="G133" s="5"/>
      <c r="H133" s="53"/>
      <c r="I133" s="9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0"/>
      <c r="B134" s="50"/>
      <c r="C134" s="51"/>
      <c r="D134" s="52"/>
      <c r="E134" s="52"/>
      <c r="F134" s="52"/>
      <c r="G134" s="5"/>
      <c r="H134" s="53"/>
      <c r="I134" s="9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0"/>
      <c r="B135" s="50"/>
      <c r="C135" s="51"/>
      <c r="D135" s="52"/>
      <c r="E135" s="52"/>
      <c r="F135" s="52"/>
      <c r="G135" s="5"/>
      <c r="H135" s="53"/>
      <c r="I135" s="9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0"/>
      <c r="B136" s="50"/>
      <c r="C136" s="51"/>
      <c r="D136" s="52"/>
      <c r="E136" s="52"/>
      <c r="F136" s="52"/>
      <c r="G136" s="5"/>
      <c r="H136" s="53"/>
      <c r="I136" s="9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0"/>
      <c r="B137" s="50"/>
      <c r="C137" s="51"/>
      <c r="D137" s="52"/>
      <c r="E137" s="52"/>
      <c r="F137" s="52"/>
      <c r="G137" s="5"/>
      <c r="H137" s="53"/>
      <c r="I137" s="9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0"/>
      <c r="B138" s="50"/>
      <c r="C138" s="51"/>
      <c r="D138" s="52"/>
      <c r="E138" s="52"/>
      <c r="F138" s="52"/>
      <c r="G138" s="5"/>
      <c r="H138" s="53"/>
      <c r="I138" s="9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0"/>
      <c r="B139" s="50"/>
      <c r="C139" s="51"/>
      <c r="D139" s="52"/>
      <c r="E139" s="52"/>
      <c r="F139" s="52"/>
      <c r="G139" s="5"/>
      <c r="H139" s="53"/>
      <c r="I139" s="9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0"/>
      <c r="B140" s="50"/>
      <c r="C140" s="51"/>
      <c r="D140" s="52"/>
      <c r="E140" s="52"/>
      <c r="F140" s="52"/>
      <c r="G140" s="5"/>
      <c r="H140" s="53"/>
      <c r="I140" s="9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0"/>
      <c r="B141" s="50"/>
      <c r="C141" s="51"/>
      <c r="D141" s="52"/>
      <c r="E141" s="52"/>
      <c r="F141" s="52"/>
      <c r="G141" s="5"/>
      <c r="H141" s="53"/>
      <c r="I141" s="9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0"/>
      <c r="B142" s="50"/>
      <c r="C142" s="51"/>
      <c r="D142" s="52"/>
      <c r="E142" s="52"/>
      <c r="F142" s="52"/>
      <c r="G142" s="5"/>
      <c r="H142" s="53"/>
      <c r="I142" s="9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0"/>
      <c r="B143" s="50"/>
      <c r="C143" s="51"/>
      <c r="D143" s="52"/>
      <c r="E143" s="52"/>
      <c r="F143" s="52"/>
      <c r="G143" s="5"/>
      <c r="H143" s="53"/>
      <c r="I143" s="9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0"/>
      <c r="B144" s="50"/>
      <c r="C144" s="51"/>
      <c r="D144" s="52"/>
      <c r="E144" s="52"/>
      <c r="F144" s="52"/>
      <c r="G144" s="5"/>
      <c r="H144" s="53"/>
      <c r="I144" s="9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0"/>
      <c r="B145" s="50"/>
      <c r="C145" s="51"/>
      <c r="D145" s="52"/>
      <c r="E145" s="52"/>
      <c r="F145" s="52"/>
      <c r="G145" s="5"/>
      <c r="H145" s="53"/>
      <c r="I145" s="9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0"/>
      <c r="B146" s="50"/>
      <c r="C146" s="51"/>
      <c r="D146" s="52"/>
      <c r="E146" s="52"/>
      <c r="F146" s="52"/>
      <c r="G146" s="5"/>
      <c r="H146" s="53"/>
      <c r="I146" s="9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0"/>
      <c r="B147" s="50"/>
      <c r="C147" s="51"/>
      <c r="D147" s="52"/>
      <c r="E147" s="52"/>
      <c r="F147" s="52"/>
      <c r="G147" s="5"/>
      <c r="H147" s="53"/>
      <c r="I147" s="9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0"/>
      <c r="B148" s="50"/>
      <c r="C148" s="51"/>
      <c r="D148" s="52"/>
      <c r="E148" s="52"/>
      <c r="F148" s="52"/>
      <c r="G148" s="5"/>
      <c r="H148" s="53"/>
      <c r="I148" s="9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0"/>
      <c r="B149" s="50"/>
      <c r="C149" s="51"/>
      <c r="D149" s="52"/>
      <c r="E149" s="52"/>
      <c r="F149" s="52"/>
      <c r="G149" s="5"/>
      <c r="H149" s="53"/>
      <c r="I149" s="9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0"/>
      <c r="B150" s="50"/>
      <c r="C150" s="51"/>
      <c r="D150" s="52"/>
      <c r="E150" s="52"/>
      <c r="F150" s="52"/>
      <c r="G150" s="5"/>
      <c r="H150" s="53"/>
      <c r="I150" s="9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0"/>
      <c r="B151" s="50"/>
      <c r="C151" s="51"/>
      <c r="D151" s="52"/>
      <c r="E151" s="52"/>
      <c r="F151" s="52"/>
      <c r="G151" s="5"/>
      <c r="H151" s="53"/>
      <c r="I151" s="9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0"/>
      <c r="B152" s="50"/>
      <c r="C152" s="51"/>
      <c r="D152" s="52"/>
      <c r="E152" s="52"/>
      <c r="F152" s="52"/>
      <c r="G152" s="5"/>
      <c r="H152" s="53"/>
      <c r="I152" s="9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0"/>
      <c r="B153" s="50"/>
      <c r="C153" s="51"/>
      <c r="D153" s="52"/>
      <c r="E153" s="52"/>
      <c r="F153" s="52"/>
      <c r="G153" s="5"/>
      <c r="H153" s="53"/>
      <c r="I153" s="9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0"/>
      <c r="B154" s="50"/>
      <c r="C154" s="51"/>
      <c r="D154" s="52"/>
      <c r="E154" s="52"/>
      <c r="F154" s="52"/>
      <c r="G154" s="5"/>
      <c r="H154" s="53"/>
      <c r="I154" s="9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0"/>
      <c r="B155" s="50"/>
      <c r="C155" s="51"/>
      <c r="D155" s="52"/>
      <c r="E155" s="52"/>
      <c r="F155" s="52"/>
      <c r="G155" s="5"/>
      <c r="H155" s="53"/>
      <c r="I155" s="9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0"/>
      <c r="B156" s="50"/>
      <c r="C156" s="51"/>
      <c r="D156" s="52"/>
      <c r="E156" s="52"/>
      <c r="F156" s="52"/>
      <c r="G156" s="5"/>
      <c r="H156" s="53"/>
      <c r="I156" s="9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0"/>
      <c r="B157" s="50"/>
      <c r="C157" s="51"/>
      <c r="D157" s="52"/>
      <c r="E157" s="52"/>
      <c r="F157" s="52"/>
      <c r="G157" s="5"/>
      <c r="H157" s="53"/>
      <c r="I157" s="9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0"/>
      <c r="B158" s="50"/>
      <c r="C158" s="51"/>
      <c r="D158" s="52"/>
      <c r="E158" s="52"/>
      <c r="F158" s="52"/>
      <c r="G158" s="5"/>
      <c r="H158" s="53"/>
      <c r="I158" s="9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0"/>
      <c r="B159" s="50"/>
      <c r="C159" s="51"/>
      <c r="D159" s="52"/>
      <c r="E159" s="52"/>
      <c r="F159" s="52"/>
      <c r="G159" s="5"/>
      <c r="H159" s="53"/>
      <c r="I159" s="9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0"/>
      <c r="B160" s="50"/>
      <c r="C160" s="51"/>
      <c r="D160" s="52"/>
      <c r="E160" s="52"/>
      <c r="F160" s="52"/>
      <c r="G160" s="5"/>
      <c r="H160" s="53"/>
      <c r="I160" s="9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0"/>
      <c r="B161" s="50"/>
      <c r="C161" s="51"/>
      <c r="D161" s="52"/>
      <c r="E161" s="52"/>
      <c r="F161" s="52"/>
      <c r="G161" s="5"/>
      <c r="H161" s="53"/>
      <c r="I161" s="9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0"/>
      <c r="B162" s="50"/>
      <c r="C162" s="51"/>
      <c r="D162" s="52"/>
      <c r="E162" s="52"/>
      <c r="F162" s="52"/>
      <c r="G162" s="5"/>
      <c r="H162" s="53"/>
      <c r="I162" s="9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0"/>
      <c r="B163" s="50"/>
      <c r="C163" s="51"/>
      <c r="D163" s="52"/>
      <c r="E163" s="52"/>
      <c r="F163" s="52"/>
      <c r="G163" s="5"/>
      <c r="H163" s="53"/>
      <c r="I163" s="9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0"/>
      <c r="B164" s="50"/>
      <c r="C164" s="51"/>
      <c r="D164" s="52"/>
      <c r="E164" s="52"/>
      <c r="F164" s="52"/>
      <c r="G164" s="5"/>
      <c r="H164" s="53"/>
      <c r="I164" s="9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0"/>
      <c r="B165" s="50"/>
      <c r="C165" s="51"/>
      <c r="D165" s="52"/>
      <c r="E165" s="52"/>
      <c r="F165" s="52"/>
      <c r="G165" s="5"/>
      <c r="H165" s="53"/>
      <c r="I165" s="9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0"/>
      <c r="B166" s="50"/>
      <c r="C166" s="51"/>
      <c r="D166" s="52"/>
      <c r="E166" s="52"/>
      <c r="F166" s="52"/>
      <c r="G166" s="5"/>
      <c r="H166" s="53"/>
      <c r="I166" s="9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0"/>
      <c r="B167" s="50"/>
      <c r="C167" s="51"/>
      <c r="D167" s="52"/>
      <c r="E167" s="52"/>
      <c r="F167" s="52"/>
      <c r="G167" s="5"/>
      <c r="H167" s="53"/>
      <c r="I167" s="9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0"/>
      <c r="B168" s="50"/>
      <c r="C168" s="51"/>
      <c r="D168" s="52"/>
      <c r="E168" s="52"/>
      <c r="F168" s="52"/>
      <c r="G168" s="5"/>
      <c r="H168" s="53"/>
      <c r="I168" s="9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0"/>
      <c r="B169" s="50"/>
      <c r="C169" s="51"/>
      <c r="D169" s="52"/>
      <c r="E169" s="52"/>
      <c r="F169" s="52"/>
      <c r="G169" s="5"/>
      <c r="H169" s="53"/>
      <c r="I169" s="9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0"/>
      <c r="B170" s="50"/>
      <c r="C170" s="51"/>
      <c r="D170" s="52"/>
      <c r="E170" s="52"/>
      <c r="F170" s="52"/>
      <c r="G170" s="5"/>
      <c r="H170" s="53"/>
      <c r="I170" s="9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0"/>
      <c r="B171" s="50"/>
      <c r="C171" s="51"/>
      <c r="D171" s="52"/>
      <c r="E171" s="52"/>
      <c r="F171" s="52"/>
      <c r="G171" s="5"/>
      <c r="H171" s="53"/>
      <c r="I171" s="9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0"/>
      <c r="B172" s="50"/>
      <c r="C172" s="51"/>
      <c r="D172" s="52"/>
      <c r="E172" s="52"/>
      <c r="F172" s="52"/>
      <c r="G172" s="5"/>
      <c r="H172" s="53"/>
      <c r="I172" s="9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0"/>
      <c r="B173" s="50"/>
      <c r="C173" s="51"/>
      <c r="D173" s="52"/>
      <c r="E173" s="52"/>
      <c r="F173" s="52"/>
      <c r="G173" s="5"/>
      <c r="H173" s="53"/>
      <c r="I173" s="9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0"/>
      <c r="B174" s="50"/>
      <c r="C174" s="51"/>
      <c r="D174" s="52"/>
      <c r="E174" s="52"/>
      <c r="F174" s="52"/>
      <c r="G174" s="5"/>
      <c r="H174" s="53"/>
      <c r="I174" s="9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0"/>
      <c r="B175" s="50"/>
      <c r="C175" s="51"/>
      <c r="D175" s="52"/>
      <c r="E175" s="52"/>
      <c r="F175" s="52"/>
      <c r="G175" s="5"/>
      <c r="H175" s="53"/>
      <c r="I175" s="9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0"/>
      <c r="B176" s="50"/>
      <c r="C176" s="51"/>
      <c r="D176" s="52"/>
      <c r="E176" s="52"/>
      <c r="F176" s="52"/>
      <c r="G176" s="5"/>
      <c r="H176" s="53"/>
      <c r="I176" s="9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0"/>
      <c r="B177" s="50"/>
      <c r="C177" s="51"/>
      <c r="D177" s="52"/>
      <c r="E177" s="52"/>
      <c r="F177" s="52"/>
      <c r="G177" s="5"/>
      <c r="H177" s="53"/>
      <c r="I177" s="9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0"/>
      <c r="B178" s="50"/>
      <c r="C178" s="51"/>
      <c r="D178" s="52"/>
      <c r="E178" s="52"/>
      <c r="F178" s="52"/>
      <c r="G178" s="5"/>
      <c r="H178" s="53"/>
      <c r="I178" s="9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0"/>
      <c r="B179" s="50"/>
      <c r="C179" s="51"/>
      <c r="D179" s="52"/>
      <c r="E179" s="52"/>
      <c r="F179" s="52"/>
      <c r="G179" s="5"/>
      <c r="H179" s="53"/>
      <c r="I179" s="9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0"/>
      <c r="B180" s="50"/>
      <c r="C180" s="51"/>
      <c r="D180" s="52"/>
      <c r="E180" s="52"/>
      <c r="F180" s="52"/>
      <c r="G180" s="5"/>
      <c r="H180" s="53"/>
      <c r="I180" s="9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0"/>
      <c r="B181" s="50"/>
      <c r="C181" s="51"/>
      <c r="D181" s="52"/>
      <c r="E181" s="52"/>
      <c r="F181" s="52"/>
      <c r="G181" s="5"/>
      <c r="H181" s="53"/>
      <c r="I181" s="9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0"/>
      <c r="B182" s="50"/>
      <c r="C182" s="51"/>
      <c r="D182" s="52"/>
      <c r="E182" s="52"/>
      <c r="F182" s="52"/>
      <c r="G182" s="5"/>
      <c r="H182" s="53"/>
      <c r="I182" s="9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0"/>
      <c r="B183" s="50"/>
      <c r="C183" s="51"/>
      <c r="D183" s="52"/>
      <c r="E183" s="52"/>
      <c r="F183" s="52"/>
      <c r="G183" s="5"/>
      <c r="H183" s="53"/>
      <c r="I183" s="9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0"/>
      <c r="B184" s="50"/>
      <c r="C184" s="51"/>
      <c r="D184" s="52"/>
      <c r="E184" s="52"/>
      <c r="F184" s="52"/>
      <c r="G184" s="5"/>
      <c r="H184" s="53"/>
      <c r="I184" s="9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0"/>
      <c r="B185" s="50"/>
      <c r="C185" s="51"/>
      <c r="D185" s="52"/>
      <c r="E185" s="52"/>
      <c r="F185" s="52"/>
      <c r="G185" s="5"/>
      <c r="H185" s="53"/>
      <c r="I185" s="9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0"/>
      <c r="B186" s="50"/>
      <c r="C186" s="51"/>
      <c r="D186" s="52"/>
      <c r="E186" s="52"/>
      <c r="F186" s="52"/>
      <c r="G186" s="5"/>
      <c r="H186" s="53"/>
      <c r="I186" s="9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0"/>
      <c r="B187" s="50"/>
      <c r="C187" s="51"/>
      <c r="D187" s="52"/>
      <c r="E187" s="52"/>
      <c r="F187" s="52"/>
      <c r="G187" s="5"/>
      <c r="H187" s="53"/>
      <c r="I187" s="9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0"/>
      <c r="B188" s="50"/>
      <c r="C188" s="51"/>
      <c r="D188" s="52"/>
      <c r="E188" s="52"/>
      <c r="F188" s="52"/>
      <c r="G188" s="5"/>
      <c r="H188" s="53"/>
      <c r="I188" s="9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C189" s="54"/>
      <c r="D189" s="55"/>
      <c r="E189" s="55"/>
      <c r="F189" s="55"/>
      <c r="H189" s="56"/>
      <c r="I189" s="99"/>
    </row>
    <row r="190" ht="15.75" customHeight="1">
      <c r="C190" s="54"/>
      <c r="D190" s="55"/>
      <c r="E190" s="55"/>
      <c r="F190" s="55"/>
      <c r="H190" s="56"/>
      <c r="I190" s="99"/>
    </row>
    <row r="191" ht="15.75" customHeight="1">
      <c r="C191" s="54"/>
      <c r="D191" s="55"/>
      <c r="E191" s="55"/>
      <c r="F191" s="55"/>
      <c r="H191" s="56"/>
      <c r="I191" s="99"/>
    </row>
    <row r="192" ht="15.75" customHeight="1">
      <c r="C192" s="54"/>
      <c r="D192" s="55"/>
      <c r="E192" s="55"/>
      <c r="F192" s="55"/>
      <c r="H192" s="56"/>
      <c r="I192" s="99"/>
    </row>
    <row r="193" ht="15.75" customHeight="1">
      <c r="C193" s="54"/>
      <c r="D193" s="55"/>
      <c r="E193" s="55"/>
      <c r="F193" s="55"/>
      <c r="H193" s="56"/>
      <c r="I193" s="99"/>
    </row>
    <row r="194" ht="15.75" customHeight="1">
      <c r="C194" s="54"/>
      <c r="D194" s="55"/>
      <c r="E194" s="55"/>
      <c r="F194" s="55"/>
      <c r="H194" s="56"/>
      <c r="I194" s="99"/>
    </row>
    <row r="195" ht="15.75" customHeight="1">
      <c r="C195" s="54"/>
      <c r="D195" s="55"/>
      <c r="E195" s="55"/>
      <c r="F195" s="55"/>
      <c r="H195" s="56"/>
      <c r="I195" s="99"/>
    </row>
    <row r="196" ht="15.75" customHeight="1">
      <c r="C196" s="54"/>
      <c r="D196" s="55"/>
      <c r="E196" s="55"/>
      <c r="F196" s="55"/>
      <c r="H196" s="56"/>
      <c r="I196" s="99"/>
    </row>
    <row r="197" ht="15.75" customHeight="1">
      <c r="C197" s="54"/>
      <c r="D197" s="55"/>
      <c r="E197" s="55"/>
      <c r="F197" s="55"/>
      <c r="H197" s="56"/>
      <c r="I197" s="99"/>
    </row>
    <row r="198" ht="15.75" customHeight="1">
      <c r="C198" s="54"/>
      <c r="D198" s="55"/>
      <c r="E198" s="55"/>
      <c r="F198" s="55"/>
      <c r="H198" s="56"/>
      <c r="I198" s="99"/>
    </row>
    <row r="199" ht="15.75" customHeight="1">
      <c r="C199" s="54"/>
      <c r="D199" s="55"/>
      <c r="E199" s="55"/>
      <c r="F199" s="55"/>
      <c r="H199" s="56"/>
      <c r="I199" s="99"/>
    </row>
    <row r="200" ht="15.75" customHeight="1">
      <c r="C200" s="54"/>
      <c r="D200" s="55"/>
      <c r="E200" s="55"/>
      <c r="F200" s="55"/>
      <c r="H200" s="56"/>
      <c r="I200" s="99"/>
    </row>
    <row r="201" ht="15.75" customHeight="1">
      <c r="C201" s="54"/>
      <c r="D201" s="55"/>
      <c r="E201" s="55"/>
      <c r="F201" s="55"/>
      <c r="H201" s="56"/>
      <c r="I201" s="99"/>
    </row>
    <row r="202" ht="15.75" customHeight="1">
      <c r="C202" s="54"/>
      <c r="D202" s="55"/>
      <c r="E202" s="55"/>
      <c r="F202" s="55"/>
      <c r="H202" s="56"/>
      <c r="I202" s="99"/>
    </row>
    <row r="203" ht="15.75" customHeight="1">
      <c r="C203" s="54"/>
      <c r="D203" s="55"/>
      <c r="E203" s="55"/>
      <c r="F203" s="55"/>
      <c r="H203" s="56"/>
      <c r="I203" s="99"/>
    </row>
    <row r="204" ht="15.75" customHeight="1">
      <c r="C204" s="54"/>
      <c r="D204" s="55"/>
      <c r="E204" s="55"/>
      <c r="F204" s="55"/>
      <c r="H204" s="56"/>
      <c r="I204" s="99"/>
    </row>
    <row r="205" ht="15.75" customHeight="1">
      <c r="C205" s="54"/>
      <c r="D205" s="55"/>
      <c r="E205" s="55"/>
      <c r="F205" s="55"/>
      <c r="H205" s="56"/>
      <c r="I205" s="99"/>
    </row>
    <row r="206" ht="15.75" customHeight="1">
      <c r="C206" s="54"/>
      <c r="D206" s="55"/>
      <c r="E206" s="55"/>
      <c r="F206" s="55"/>
      <c r="H206" s="56"/>
      <c r="I206" s="99"/>
    </row>
    <row r="207" ht="15.75" customHeight="1">
      <c r="C207" s="54"/>
      <c r="D207" s="55"/>
      <c r="E207" s="55"/>
      <c r="F207" s="55"/>
      <c r="H207" s="56"/>
      <c r="I207" s="99"/>
    </row>
    <row r="208" ht="15.75" customHeight="1">
      <c r="C208" s="54"/>
      <c r="D208" s="55"/>
      <c r="E208" s="55"/>
      <c r="F208" s="55"/>
      <c r="H208" s="56"/>
      <c r="I208" s="99"/>
    </row>
    <row r="209" ht="15.75" customHeight="1">
      <c r="C209" s="54"/>
      <c r="D209" s="55"/>
      <c r="E209" s="55"/>
      <c r="F209" s="55"/>
      <c r="H209" s="56"/>
      <c r="I209" s="99"/>
    </row>
    <row r="210" ht="15.75" customHeight="1">
      <c r="C210" s="54"/>
      <c r="D210" s="55"/>
      <c r="E210" s="55"/>
      <c r="F210" s="55"/>
      <c r="H210" s="56"/>
      <c r="I210" s="99"/>
    </row>
    <row r="211" ht="15.75" customHeight="1">
      <c r="C211" s="54"/>
      <c r="D211" s="55"/>
      <c r="E211" s="55"/>
      <c r="F211" s="55"/>
      <c r="H211" s="56"/>
      <c r="I211" s="99"/>
    </row>
    <row r="212" ht="15.75" customHeight="1">
      <c r="C212" s="54"/>
      <c r="D212" s="55"/>
      <c r="E212" s="55"/>
      <c r="F212" s="55"/>
      <c r="H212" s="56"/>
      <c r="I212" s="99"/>
    </row>
    <row r="213" ht="15.75" customHeight="1">
      <c r="C213" s="54"/>
      <c r="D213" s="55"/>
      <c r="E213" s="55"/>
      <c r="F213" s="55"/>
      <c r="H213" s="56"/>
      <c r="I213" s="99"/>
    </row>
    <row r="214" ht="15.75" customHeight="1">
      <c r="C214" s="54"/>
      <c r="D214" s="55"/>
      <c r="E214" s="55"/>
      <c r="F214" s="55"/>
      <c r="H214" s="56"/>
      <c r="I214" s="99"/>
    </row>
    <row r="215" ht="15.75" customHeight="1">
      <c r="C215" s="54"/>
      <c r="D215" s="55"/>
      <c r="E215" s="55"/>
      <c r="F215" s="55"/>
      <c r="H215" s="56"/>
      <c r="I215" s="99"/>
    </row>
    <row r="216" ht="15.75" customHeight="1">
      <c r="C216" s="54"/>
      <c r="D216" s="55"/>
      <c r="E216" s="55"/>
      <c r="F216" s="55"/>
      <c r="H216" s="56"/>
      <c r="I216" s="99"/>
    </row>
    <row r="217" ht="15.75" customHeight="1">
      <c r="C217" s="54"/>
      <c r="D217" s="55"/>
      <c r="E217" s="55"/>
      <c r="F217" s="55"/>
      <c r="H217" s="56"/>
      <c r="I217" s="99"/>
    </row>
    <row r="218" ht="15.75" customHeight="1">
      <c r="C218" s="54"/>
      <c r="D218" s="55"/>
      <c r="E218" s="55"/>
      <c r="F218" s="55"/>
      <c r="H218" s="56"/>
      <c r="I218" s="99"/>
    </row>
    <row r="219" ht="15.75" customHeight="1">
      <c r="C219" s="54"/>
      <c r="D219" s="55"/>
      <c r="E219" s="55"/>
      <c r="F219" s="55"/>
      <c r="H219" s="56"/>
      <c r="I219" s="99"/>
    </row>
    <row r="220" ht="15.75" customHeight="1">
      <c r="C220" s="54"/>
      <c r="D220" s="55"/>
      <c r="E220" s="55"/>
      <c r="F220" s="55"/>
      <c r="H220" s="56"/>
      <c r="I220" s="99"/>
    </row>
    <row r="221" ht="15.75" customHeight="1">
      <c r="C221" s="54"/>
      <c r="D221" s="55"/>
      <c r="E221" s="55"/>
      <c r="F221" s="55"/>
      <c r="H221" s="56"/>
      <c r="I221" s="99"/>
    </row>
    <row r="222" ht="15.75" customHeight="1">
      <c r="C222" s="54"/>
      <c r="D222" s="55"/>
      <c r="E222" s="55"/>
      <c r="F222" s="55"/>
      <c r="H222" s="56"/>
      <c r="I222" s="99"/>
    </row>
    <row r="223" ht="15.75" customHeight="1">
      <c r="C223" s="54"/>
      <c r="D223" s="55"/>
      <c r="E223" s="55"/>
      <c r="F223" s="55"/>
      <c r="H223" s="56"/>
      <c r="I223" s="99"/>
    </row>
    <row r="224" ht="15.75" customHeight="1">
      <c r="C224" s="54"/>
      <c r="D224" s="55"/>
      <c r="E224" s="55"/>
      <c r="F224" s="55"/>
      <c r="H224" s="56"/>
      <c r="I224" s="99"/>
    </row>
    <row r="225" ht="15.75" customHeight="1">
      <c r="C225" s="54"/>
      <c r="D225" s="55"/>
      <c r="E225" s="55"/>
      <c r="F225" s="55"/>
      <c r="H225" s="56"/>
      <c r="I225" s="99"/>
    </row>
    <row r="226" ht="15.75" customHeight="1">
      <c r="C226" s="54"/>
      <c r="D226" s="55"/>
      <c r="E226" s="55"/>
      <c r="F226" s="55"/>
      <c r="H226" s="56"/>
      <c r="I226" s="99"/>
    </row>
    <row r="227" ht="15.75" customHeight="1">
      <c r="C227" s="54"/>
      <c r="D227" s="55"/>
      <c r="E227" s="55"/>
      <c r="F227" s="55"/>
      <c r="H227" s="56"/>
      <c r="I227" s="99"/>
    </row>
    <row r="228" ht="15.75" customHeight="1">
      <c r="C228" s="54"/>
      <c r="D228" s="55"/>
      <c r="E228" s="55"/>
      <c r="F228" s="55"/>
      <c r="H228" s="56"/>
      <c r="I228" s="99"/>
    </row>
    <row r="229" ht="15.75" customHeight="1">
      <c r="C229" s="54"/>
      <c r="D229" s="55"/>
      <c r="E229" s="55"/>
      <c r="F229" s="55"/>
      <c r="H229" s="56"/>
      <c r="I229" s="99"/>
    </row>
    <row r="230" ht="15.75" customHeight="1">
      <c r="C230" s="54"/>
      <c r="D230" s="55"/>
      <c r="E230" s="55"/>
      <c r="F230" s="55"/>
      <c r="H230" s="56"/>
      <c r="I230" s="99"/>
    </row>
    <row r="231" ht="15.75" customHeight="1">
      <c r="C231" s="54"/>
      <c r="D231" s="55"/>
      <c r="E231" s="55"/>
      <c r="F231" s="55"/>
      <c r="H231" s="56"/>
      <c r="I231" s="99"/>
    </row>
    <row r="232" ht="15.75" customHeight="1">
      <c r="C232" s="54"/>
      <c r="D232" s="55"/>
      <c r="E232" s="55"/>
      <c r="F232" s="55"/>
      <c r="H232" s="56"/>
      <c r="I232" s="99"/>
    </row>
    <row r="233" ht="15.75" customHeight="1">
      <c r="C233" s="54"/>
      <c r="D233" s="55"/>
      <c r="E233" s="55"/>
      <c r="F233" s="55"/>
      <c r="H233" s="56"/>
      <c r="I233" s="99"/>
    </row>
    <row r="234" ht="15.75" customHeight="1">
      <c r="C234" s="54"/>
      <c r="D234" s="55"/>
      <c r="E234" s="55"/>
      <c r="F234" s="55"/>
      <c r="H234" s="56"/>
      <c r="I234" s="99"/>
    </row>
    <row r="235" ht="15.75" customHeight="1">
      <c r="C235" s="54"/>
      <c r="D235" s="55"/>
      <c r="E235" s="55"/>
      <c r="F235" s="55"/>
      <c r="H235" s="56"/>
      <c r="I235" s="99"/>
    </row>
    <row r="236" ht="15.75" customHeight="1">
      <c r="C236" s="54"/>
      <c r="D236" s="55"/>
      <c r="E236" s="55"/>
      <c r="F236" s="55"/>
      <c r="H236" s="56"/>
      <c r="I236" s="99"/>
    </row>
    <row r="237" ht="15.75" customHeight="1">
      <c r="C237" s="54"/>
      <c r="D237" s="55"/>
      <c r="E237" s="55"/>
      <c r="F237" s="55"/>
      <c r="H237" s="56"/>
      <c r="I237" s="99"/>
    </row>
    <row r="238" ht="15.75" customHeight="1">
      <c r="C238" s="54"/>
      <c r="D238" s="55"/>
      <c r="E238" s="55"/>
      <c r="F238" s="55"/>
      <c r="H238" s="56"/>
      <c r="I238" s="99"/>
    </row>
    <row r="239" ht="15.75" customHeight="1">
      <c r="C239" s="54"/>
      <c r="D239" s="55"/>
      <c r="E239" s="55"/>
      <c r="F239" s="55"/>
      <c r="H239" s="56"/>
      <c r="I239" s="99"/>
    </row>
    <row r="240" ht="15.75" customHeight="1">
      <c r="C240" s="54"/>
      <c r="D240" s="55"/>
      <c r="E240" s="55"/>
      <c r="F240" s="55"/>
      <c r="H240" s="56"/>
      <c r="I240" s="99"/>
    </row>
    <row r="241" ht="15.75" customHeight="1">
      <c r="C241" s="54"/>
      <c r="D241" s="55"/>
      <c r="E241" s="55"/>
      <c r="F241" s="55"/>
      <c r="H241" s="56"/>
      <c r="I241" s="99"/>
    </row>
    <row r="242" ht="15.75" customHeight="1">
      <c r="C242" s="54"/>
      <c r="D242" s="55"/>
      <c r="E242" s="55"/>
      <c r="F242" s="55"/>
      <c r="H242" s="56"/>
      <c r="I242" s="99"/>
    </row>
    <row r="243" ht="15.75" customHeight="1">
      <c r="C243" s="54"/>
      <c r="D243" s="55"/>
      <c r="E243" s="55"/>
      <c r="F243" s="55"/>
      <c r="H243" s="56"/>
      <c r="I243" s="99"/>
    </row>
    <row r="244" ht="15.75" customHeight="1">
      <c r="C244" s="54"/>
      <c r="D244" s="55"/>
      <c r="E244" s="55"/>
      <c r="F244" s="55"/>
      <c r="H244" s="56"/>
      <c r="I244" s="99"/>
    </row>
    <row r="245" ht="15.75" customHeight="1">
      <c r="C245" s="54"/>
      <c r="D245" s="55"/>
      <c r="E245" s="55"/>
      <c r="F245" s="55"/>
      <c r="H245" s="56"/>
      <c r="I245" s="99"/>
    </row>
    <row r="246" ht="15.75" customHeight="1">
      <c r="C246" s="54"/>
      <c r="D246" s="55"/>
      <c r="E246" s="55"/>
      <c r="F246" s="55"/>
      <c r="H246" s="56"/>
      <c r="I246" s="99"/>
    </row>
    <row r="247" ht="15.75" customHeight="1">
      <c r="C247" s="54"/>
      <c r="D247" s="55"/>
      <c r="E247" s="55"/>
      <c r="F247" s="55"/>
      <c r="H247" s="56"/>
      <c r="I247" s="99"/>
    </row>
    <row r="248" ht="15.75" customHeight="1">
      <c r="C248" s="54"/>
      <c r="D248" s="55"/>
      <c r="E248" s="55"/>
      <c r="F248" s="55"/>
      <c r="H248" s="56"/>
      <c r="I248" s="99"/>
    </row>
    <row r="249" ht="15.75" customHeight="1">
      <c r="C249" s="54"/>
      <c r="D249" s="55"/>
      <c r="E249" s="55"/>
      <c r="F249" s="55"/>
      <c r="H249" s="56"/>
      <c r="I249" s="99"/>
    </row>
    <row r="250" ht="15.75" customHeight="1">
      <c r="C250" s="54"/>
      <c r="D250" s="55"/>
      <c r="E250" s="55"/>
      <c r="F250" s="55"/>
      <c r="H250" s="56"/>
      <c r="I250" s="99"/>
    </row>
    <row r="251" ht="15.75" customHeight="1">
      <c r="C251" s="54"/>
      <c r="D251" s="55"/>
      <c r="E251" s="55"/>
      <c r="F251" s="55"/>
      <c r="H251" s="56"/>
      <c r="I251" s="99"/>
    </row>
    <row r="252" ht="15.75" customHeight="1">
      <c r="C252" s="54"/>
      <c r="D252" s="55"/>
      <c r="E252" s="55"/>
      <c r="F252" s="55"/>
      <c r="H252" s="56"/>
      <c r="I252" s="99"/>
    </row>
    <row r="253" ht="15.75" customHeight="1">
      <c r="C253" s="54"/>
      <c r="D253" s="55"/>
      <c r="E253" s="55"/>
      <c r="F253" s="55"/>
      <c r="H253" s="56"/>
      <c r="I253" s="99"/>
    </row>
    <row r="254" ht="15.75" customHeight="1">
      <c r="C254" s="54"/>
      <c r="D254" s="55"/>
      <c r="E254" s="55"/>
      <c r="F254" s="55"/>
      <c r="H254" s="56"/>
      <c r="I254" s="99"/>
    </row>
    <row r="255" ht="15.75" customHeight="1">
      <c r="C255" s="54"/>
      <c r="D255" s="55"/>
      <c r="E255" s="55"/>
      <c r="F255" s="55"/>
      <c r="H255" s="56"/>
      <c r="I255" s="99"/>
    </row>
    <row r="256" ht="15.75" customHeight="1">
      <c r="C256" s="54"/>
      <c r="D256" s="55"/>
      <c r="E256" s="55"/>
      <c r="F256" s="55"/>
      <c r="H256" s="56"/>
      <c r="I256" s="99"/>
    </row>
    <row r="257" ht="15.75" customHeight="1">
      <c r="C257" s="54"/>
      <c r="D257" s="55"/>
      <c r="E257" s="55"/>
      <c r="F257" s="55"/>
      <c r="H257" s="56"/>
      <c r="I257" s="99"/>
    </row>
    <row r="258" ht="15.75" customHeight="1">
      <c r="C258" s="54"/>
      <c r="D258" s="55"/>
      <c r="E258" s="55"/>
      <c r="F258" s="55"/>
      <c r="H258" s="56"/>
      <c r="I258" s="99"/>
    </row>
    <row r="259" ht="15.75" customHeight="1">
      <c r="C259" s="54"/>
      <c r="D259" s="55"/>
      <c r="E259" s="55"/>
      <c r="F259" s="55"/>
      <c r="H259" s="56"/>
      <c r="I259" s="99"/>
    </row>
    <row r="260" ht="15.75" customHeight="1">
      <c r="C260" s="54"/>
      <c r="D260" s="55"/>
      <c r="E260" s="55"/>
      <c r="F260" s="55"/>
      <c r="H260" s="56"/>
      <c r="I260" s="99"/>
    </row>
    <row r="261" ht="15.75" customHeight="1">
      <c r="C261" s="54"/>
      <c r="D261" s="55"/>
      <c r="E261" s="55"/>
      <c r="F261" s="55"/>
      <c r="H261" s="56"/>
      <c r="I261" s="99"/>
    </row>
    <row r="262" ht="15.75" customHeight="1">
      <c r="C262" s="54"/>
      <c r="D262" s="55"/>
      <c r="E262" s="55"/>
      <c r="F262" s="55"/>
      <c r="H262" s="56"/>
      <c r="I262" s="99"/>
    </row>
    <row r="263" ht="15.75" customHeight="1">
      <c r="C263" s="54"/>
      <c r="D263" s="55"/>
      <c r="E263" s="55"/>
      <c r="F263" s="55"/>
      <c r="H263" s="56"/>
      <c r="I263" s="99"/>
    </row>
    <row r="264" ht="15.75" customHeight="1">
      <c r="C264" s="54"/>
      <c r="D264" s="55"/>
      <c r="E264" s="55"/>
      <c r="F264" s="55"/>
      <c r="H264" s="56"/>
      <c r="I264" s="99"/>
    </row>
    <row r="265" ht="15.75" customHeight="1">
      <c r="C265" s="54"/>
      <c r="D265" s="55"/>
      <c r="E265" s="55"/>
      <c r="F265" s="55"/>
      <c r="H265" s="56"/>
      <c r="I265" s="99"/>
    </row>
    <row r="266" ht="15.75" customHeight="1">
      <c r="C266" s="54"/>
      <c r="D266" s="55"/>
      <c r="E266" s="55"/>
      <c r="F266" s="55"/>
      <c r="H266" s="56"/>
      <c r="I266" s="99"/>
    </row>
    <row r="267" ht="15.75" customHeight="1">
      <c r="C267" s="54"/>
      <c r="D267" s="55"/>
      <c r="E267" s="55"/>
      <c r="F267" s="55"/>
      <c r="H267" s="56"/>
      <c r="I267" s="99"/>
    </row>
    <row r="268" ht="15.75" customHeight="1">
      <c r="C268" s="54"/>
      <c r="D268" s="55"/>
      <c r="E268" s="55"/>
      <c r="F268" s="55"/>
      <c r="H268" s="56"/>
      <c r="I268" s="99"/>
    </row>
    <row r="269" ht="15.75" customHeight="1">
      <c r="C269" s="54"/>
      <c r="D269" s="55"/>
      <c r="E269" s="55"/>
      <c r="F269" s="55"/>
      <c r="H269" s="56"/>
      <c r="I269" s="99"/>
    </row>
    <row r="270" ht="15.75" customHeight="1">
      <c r="C270" s="54"/>
      <c r="D270" s="55"/>
      <c r="E270" s="55"/>
      <c r="F270" s="55"/>
      <c r="H270" s="56"/>
      <c r="I270" s="99"/>
    </row>
    <row r="271" ht="15.75" customHeight="1">
      <c r="C271" s="54"/>
      <c r="D271" s="55"/>
      <c r="E271" s="55"/>
      <c r="F271" s="55"/>
      <c r="H271" s="56"/>
      <c r="I271" s="99"/>
    </row>
    <row r="272" ht="15.75" customHeight="1">
      <c r="C272" s="54"/>
      <c r="D272" s="55"/>
      <c r="E272" s="55"/>
      <c r="F272" s="55"/>
      <c r="H272" s="56"/>
      <c r="I272" s="99"/>
    </row>
    <row r="273" ht="15.75" customHeight="1">
      <c r="C273" s="54"/>
      <c r="D273" s="55"/>
      <c r="E273" s="55"/>
      <c r="F273" s="55"/>
      <c r="H273" s="56"/>
      <c r="I273" s="99"/>
    </row>
    <row r="274" ht="15.75" customHeight="1">
      <c r="C274" s="54"/>
      <c r="D274" s="55"/>
      <c r="E274" s="55"/>
      <c r="F274" s="55"/>
      <c r="H274" s="56"/>
      <c r="I274" s="99"/>
    </row>
    <row r="275" ht="15.75" customHeight="1">
      <c r="C275" s="54"/>
      <c r="D275" s="55"/>
      <c r="E275" s="55"/>
      <c r="F275" s="55"/>
      <c r="H275" s="56"/>
      <c r="I275" s="99"/>
    </row>
    <row r="276" ht="15.75" customHeight="1">
      <c r="C276" s="54"/>
      <c r="D276" s="55"/>
      <c r="E276" s="55"/>
      <c r="F276" s="55"/>
      <c r="H276" s="56"/>
      <c r="I276" s="99"/>
    </row>
    <row r="277" ht="15.75" customHeight="1">
      <c r="C277" s="54"/>
      <c r="D277" s="55"/>
      <c r="E277" s="55"/>
      <c r="F277" s="55"/>
      <c r="H277" s="56"/>
      <c r="I277" s="99"/>
    </row>
    <row r="278" ht="15.75" customHeight="1">
      <c r="C278" s="54"/>
      <c r="D278" s="55"/>
      <c r="E278" s="55"/>
      <c r="F278" s="55"/>
      <c r="H278" s="56"/>
      <c r="I278" s="99"/>
    </row>
    <row r="279" ht="15.75" customHeight="1">
      <c r="C279" s="54"/>
      <c r="D279" s="55"/>
      <c r="E279" s="55"/>
      <c r="F279" s="55"/>
      <c r="H279" s="56"/>
      <c r="I279" s="99"/>
    </row>
    <row r="280" ht="15.75" customHeight="1">
      <c r="C280" s="54"/>
      <c r="D280" s="55"/>
      <c r="E280" s="55"/>
      <c r="F280" s="55"/>
      <c r="H280" s="56"/>
      <c r="I280" s="99"/>
    </row>
    <row r="281" ht="15.75" customHeight="1">
      <c r="C281" s="54"/>
      <c r="D281" s="55"/>
      <c r="E281" s="55"/>
      <c r="F281" s="55"/>
      <c r="H281" s="56"/>
      <c r="I281" s="99"/>
    </row>
    <row r="282" ht="15.75" customHeight="1">
      <c r="C282" s="54"/>
      <c r="D282" s="55"/>
      <c r="E282" s="55"/>
      <c r="F282" s="55"/>
      <c r="H282" s="56"/>
      <c r="I282" s="99"/>
    </row>
    <row r="283" ht="15.75" customHeight="1">
      <c r="C283" s="54"/>
      <c r="D283" s="55"/>
      <c r="E283" s="55"/>
      <c r="F283" s="55"/>
      <c r="H283" s="56"/>
      <c r="I283" s="99"/>
    </row>
    <row r="284" ht="15.75" customHeight="1">
      <c r="C284" s="54"/>
      <c r="D284" s="55"/>
      <c r="E284" s="55"/>
      <c r="F284" s="55"/>
      <c r="H284" s="56"/>
      <c r="I284" s="99"/>
    </row>
    <row r="285" ht="15.75" customHeight="1">
      <c r="C285" s="54"/>
      <c r="D285" s="55"/>
      <c r="E285" s="55"/>
      <c r="F285" s="55"/>
      <c r="H285" s="56"/>
      <c r="I285" s="99"/>
    </row>
    <row r="286" ht="15.75" customHeight="1">
      <c r="C286" s="54"/>
      <c r="D286" s="55"/>
      <c r="E286" s="55"/>
      <c r="F286" s="55"/>
      <c r="H286" s="56"/>
      <c r="I286" s="99"/>
    </row>
    <row r="287" ht="15.75" customHeight="1">
      <c r="C287" s="54"/>
      <c r="D287" s="55"/>
      <c r="E287" s="55"/>
      <c r="F287" s="55"/>
      <c r="H287" s="56"/>
      <c r="I287" s="99"/>
    </row>
    <row r="288" ht="15.75" customHeight="1">
      <c r="C288" s="54"/>
      <c r="D288" s="55"/>
      <c r="E288" s="55"/>
      <c r="F288" s="55"/>
      <c r="H288" s="56"/>
      <c r="I288" s="99"/>
    </row>
    <row r="289" ht="15.75" customHeight="1">
      <c r="C289" s="54"/>
      <c r="D289" s="55"/>
      <c r="E289" s="55"/>
      <c r="F289" s="55"/>
      <c r="H289" s="56"/>
      <c r="I289" s="99"/>
    </row>
    <row r="290" ht="15.75" customHeight="1">
      <c r="C290" s="54"/>
      <c r="D290" s="55"/>
      <c r="E290" s="55"/>
      <c r="F290" s="55"/>
      <c r="H290" s="56"/>
      <c r="I290" s="99"/>
    </row>
    <row r="291" ht="15.75" customHeight="1">
      <c r="C291" s="54"/>
      <c r="D291" s="55"/>
      <c r="E291" s="55"/>
      <c r="F291" s="55"/>
      <c r="H291" s="56"/>
      <c r="I291" s="99"/>
    </row>
    <row r="292" ht="15.75" customHeight="1">
      <c r="C292" s="54"/>
      <c r="D292" s="55"/>
      <c r="E292" s="55"/>
      <c r="F292" s="55"/>
      <c r="H292" s="56"/>
      <c r="I292" s="99"/>
    </row>
    <row r="293" ht="15.75" customHeight="1">
      <c r="C293" s="54"/>
      <c r="D293" s="55"/>
      <c r="E293" s="55"/>
      <c r="F293" s="55"/>
      <c r="H293" s="56"/>
      <c r="I293" s="99"/>
    </row>
    <row r="294" ht="15.75" customHeight="1">
      <c r="C294" s="54"/>
      <c r="D294" s="55"/>
      <c r="E294" s="55"/>
      <c r="F294" s="55"/>
      <c r="H294" s="56"/>
      <c r="I294" s="99"/>
    </row>
    <row r="295" ht="15.75" customHeight="1">
      <c r="C295" s="54"/>
      <c r="D295" s="55"/>
      <c r="E295" s="55"/>
      <c r="F295" s="55"/>
      <c r="H295" s="56"/>
      <c r="I295" s="99"/>
    </row>
    <row r="296" ht="15.75" customHeight="1">
      <c r="C296" s="54"/>
      <c r="D296" s="55"/>
      <c r="E296" s="55"/>
      <c r="F296" s="55"/>
      <c r="H296" s="56"/>
      <c r="I296" s="99"/>
    </row>
    <row r="297" ht="15.75" customHeight="1">
      <c r="C297" s="54"/>
      <c r="D297" s="55"/>
      <c r="E297" s="55"/>
      <c r="F297" s="55"/>
      <c r="H297" s="56"/>
      <c r="I297" s="99"/>
    </row>
    <row r="298" ht="15.75" customHeight="1">
      <c r="C298" s="54"/>
      <c r="D298" s="55"/>
      <c r="E298" s="55"/>
      <c r="F298" s="55"/>
      <c r="H298" s="56"/>
      <c r="I298" s="99"/>
    </row>
    <row r="299" ht="15.75" customHeight="1">
      <c r="C299" s="54"/>
      <c r="D299" s="55"/>
      <c r="E299" s="55"/>
      <c r="F299" s="55"/>
      <c r="H299" s="56"/>
      <c r="I299" s="99"/>
    </row>
    <row r="300" ht="15.75" customHeight="1">
      <c r="C300" s="54"/>
      <c r="D300" s="55"/>
      <c r="E300" s="55"/>
      <c r="F300" s="55"/>
      <c r="H300" s="56"/>
      <c r="I300" s="99"/>
    </row>
    <row r="301" ht="15.75" customHeight="1">
      <c r="C301" s="54"/>
      <c r="D301" s="55"/>
      <c r="E301" s="55"/>
      <c r="F301" s="55"/>
      <c r="H301" s="56"/>
      <c r="I301" s="99"/>
    </row>
    <row r="302" ht="15.75" customHeight="1">
      <c r="C302" s="54"/>
      <c r="D302" s="55"/>
      <c r="E302" s="55"/>
      <c r="F302" s="55"/>
      <c r="H302" s="56"/>
      <c r="I302" s="99"/>
    </row>
    <row r="303" ht="15.75" customHeight="1">
      <c r="C303" s="54"/>
      <c r="D303" s="55"/>
      <c r="E303" s="55"/>
      <c r="F303" s="55"/>
      <c r="H303" s="56"/>
      <c r="I303" s="99"/>
    </row>
    <row r="304" ht="15.75" customHeight="1">
      <c r="C304" s="54"/>
      <c r="D304" s="55"/>
      <c r="E304" s="55"/>
      <c r="F304" s="55"/>
      <c r="H304" s="56"/>
      <c r="I304" s="99"/>
    </row>
    <row r="305" ht="15.75" customHeight="1">
      <c r="C305" s="54"/>
      <c r="D305" s="55"/>
      <c r="E305" s="55"/>
      <c r="F305" s="55"/>
      <c r="H305" s="56"/>
      <c r="I305" s="99"/>
    </row>
    <row r="306" ht="15.75" customHeight="1">
      <c r="C306" s="54"/>
      <c r="D306" s="55"/>
      <c r="E306" s="55"/>
      <c r="F306" s="55"/>
      <c r="H306" s="56"/>
      <c r="I306" s="99"/>
    </row>
    <row r="307" ht="15.75" customHeight="1">
      <c r="C307" s="54"/>
      <c r="D307" s="55"/>
      <c r="E307" s="55"/>
      <c r="F307" s="55"/>
      <c r="H307" s="56"/>
      <c r="I307" s="99"/>
    </row>
    <row r="308" ht="15.75" customHeight="1">
      <c r="C308" s="54"/>
      <c r="D308" s="55"/>
      <c r="E308" s="55"/>
      <c r="F308" s="55"/>
      <c r="H308" s="56"/>
      <c r="I308" s="99"/>
    </row>
    <row r="309" ht="15.75" customHeight="1">
      <c r="C309" s="54"/>
      <c r="D309" s="55"/>
      <c r="E309" s="55"/>
      <c r="F309" s="55"/>
      <c r="H309" s="56"/>
      <c r="I309" s="99"/>
    </row>
    <row r="310" ht="15.75" customHeight="1">
      <c r="C310" s="54"/>
      <c r="D310" s="55"/>
      <c r="E310" s="55"/>
      <c r="F310" s="55"/>
      <c r="H310" s="56"/>
      <c r="I310" s="99"/>
    </row>
    <row r="311" ht="15.75" customHeight="1">
      <c r="C311" s="54"/>
      <c r="D311" s="55"/>
      <c r="E311" s="55"/>
      <c r="F311" s="55"/>
      <c r="H311" s="56"/>
      <c r="I311" s="99"/>
    </row>
    <row r="312" ht="15.75" customHeight="1">
      <c r="C312" s="54"/>
      <c r="D312" s="55"/>
      <c r="E312" s="55"/>
      <c r="F312" s="55"/>
      <c r="H312" s="56"/>
      <c r="I312" s="99"/>
    </row>
    <row r="313" ht="15.75" customHeight="1">
      <c r="C313" s="54"/>
      <c r="D313" s="55"/>
      <c r="E313" s="55"/>
      <c r="F313" s="55"/>
      <c r="H313" s="56"/>
      <c r="I313" s="99"/>
    </row>
    <row r="314" ht="15.75" customHeight="1">
      <c r="C314" s="54"/>
      <c r="D314" s="55"/>
      <c r="E314" s="55"/>
      <c r="F314" s="55"/>
      <c r="H314" s="56"/>
      <c r="I314" s="99"/>
    </row>
    <row r="315" ht="15.75" customHeight="1">
      <c r="C315" s="54"/>
      <c r="D315" s="55"/>
      <c r="E315" s="55"/>
      <c r="F315" s="55"/>
      <c r="H315" s="56"/>
      <c r="I315" s="99"/>
    </row>
    <row r="316" ht="15.75" customHeight="1">
      <c r="C316" s="54"/>
      <c r="D316" s="55"/>
      <c r="E316" s="55"/>
      <c r="F316" s="55"/>
      <c r="H316" s="56"/>
      <c r="I316" s="99"/>
    </row>
    <row r="317" ht="15.75" customHeight="1">
      <c r="C317" s="54"/>
      <c r="D317" s="55"/>
      <c r="E317" s="55"/>
      <c r="F317" s="55"/>
      <c r="H317" s="56"/>
      <c r="I317" s="99"/>
    </row>
    <row r="318" ht="15.75" customHeight="1">
      <c r="C318" s="54"/>
      <c r="D318" s="55"/>
      <c r="E318" s="55"/>
      <c r="F318" s="55"/>
      <c r="H318" s="56"/>
      <c r="I318" s="99"/>
    </row>
    <row r="319" ht="15.75" customHeight="1">
      <c r="C319" s="54"/>
      <c r="D319" s="55"/>
      <c r="E319" s="55"/>
      <c r="F319" s="55"/>
      <c r="H319" s="56"/>
      <c r="I319" s="99"/>
    </row>
    <row r="320" ht="15.75" customHeight="1">
      <c r="C320" s="54"/>
      <c r="D320" s="55"/>
      <c r="E320" s="55"/>
      <c r="F320" s="55"/>
      <c r="H320" s="56"/>
      <c r="I320" s="99"/>
    </row>
    <row r="321" ht="15.75" customHeight="1">
      <c r="C321" s="54"/>
      <c r="D321" s="55"/>
      <c r="E321" s="55"/>
      <c r="F321" s="55"/>
      <c r="H321" s="56"/>
      <c r="I321" s="99"/>
    </row>
    <row r="322" ht="15.75" customHeight="1">
      <c r="C322" s="54"/>
      <c r="D322" s="55"/>
      <c r="E322" s="55"/>
      <c r="F322" s="55"/>
      <c r="H322" s="56"/>
      <c r="I322" s="99"/>
    </row>
    <row r="323" ht="15.75" customHeight="1">
      <c r="C323" s="54"/>
      <c r="D323" s="55"/>
      <c r="E323" s="55"/>
      <c r="F323" s="55"/>
      <c r="H323" s="56"/>
      <c r="I323" s="99"/>
    </row>
    <row r="324" ht="15.75" customHeight="1">
      <c r="C324" s="54"/>
      <c r="D324" s="55"/>
      <c r="E324" s="55"/>
      <c r="F324" s="55"/>
      <c r="H324" s="56"/>
      <c r="I324" s="99"/>
    </row>
    <row r="325" ht="15.75" customHeight="1">
      <c r="C325" s="54"/>
      <c r="D325" s="55"/>
      <c r="E325" s="55"/>
      <c r="F325" s="55"/>
      <c r="H325" s="56"/>
      <c r="I325" s="99"/>
    </row>
    <row r="326" ht="15.75" customHeight="1">
      <c r="C326" s="54"/>
      <c r="D326" s="55"/>
      <c r="E326" s="55"/>
      <c r="F326" s="55"/>
      <c r="H326" s="56"/>
      <c r="I326" s="99"/>
    </row>
    <row r="327" ht="15.75" customHeight="1">
      <c r="C327" s="54"/>
      <c r="D327" s="55"/>
      <c r="E327" s="55"/>
      <c r="F327" s="55"/>
      <c r="H327" s="56"/>
      <c r="I327" s="99"/>
    </row>
    <row r="328" ht="15.75" customHeight="1">
      <c r="C328" s="54"/>
      <c r="D328" s="55"/>
      <c r="E328" s="55"/>
      <c r="F328" s="55"/>
      <c r="H328" s="56"/>
      <c r="I328" s="99"/>
    </row>
    <row r="329" ht="15.75" customHeight="1">
      <c r="C329" s="54"/>
      <c r="D329" s="55"/>
      <c r="E329" s="55"/>
      <c r="F329" s="55"/>
      <c r="H329" s="56"/>
      <c r="I329" s="99"/>
    </row>
    <row r="330" ht="15.75" customHeight="1">
      <c r="C330" s="54"/>
      <c r="D330" s="55"/>
      <c r="E330" s="55"/>
      <c r="F330" s="55"/>
      <c r="H330" s="56"/>
      <c r="I330" s="99"/>
    </row>
    <row r="331" ht="15.75" customHeight="1">
      <c r="C331" s="54"/>
      <c r="D331" s="55"/>
      <c r="E331" s="55"/>
      <c r="F331" s="55"/>
      <c r="H331" s="56"/>
      <c r="I331" s="99"/>
    </row>
    <row r="332" ht="15.75" customHeight="1">
      <c r="C332" s="54"/>
      <c r="D332" s="55"/>
      <c r="E332" s="55"/>
      <c r="F332" s="55"/>
      <c r="H332" s="56"/>
      <c r="I332" s="99"/>
    </row>
    <row r="333" ht="15.75" customHeight="1">
      <c r="C333" s="54"/>
      <c r="D333" s="55"/>
      <c r="E333" s="55"/>
      <c r="F333" s="55"/>
      <c r="H333" s="56"/>
      <c r="I333" s="99"/>
    </row>
    <row r="334" ht="15.75" customHeight="1">
      <c r="C334" s="54"/>
      <c r="D334" s="55"/>
      <c r="E334" s="55"/>
      <c r="F334" s="55"/>
      <c r="H334" s="56"/>
      <c r="I334" s="99"/>
    </row>
    <row r="335" ht="15.75" customHeight="1">
      <c r="C335" s="54"/>
      <c r="D335" s="55"/>
      <c r="E335" s="55"/>
      <c r="F335" s="55"/>
      <c r="H335" s="56"/>
      <c r="I335" s="99"/>
    </row>
    <row r="336" ht="15.75" customHeight="1">
      <c r="C336" s="54"/>
      <c r="D336" s="55"/>
      <c r="E336" s="55"/>
      <c r="F336" s="55"/>
      <c r="H336" s="56"/>
      <c r="I336" s="99"/>
    </row>
    <row r="337" ht="15.75" customHeight="1">
      <c r="C337" s="54"/>
      <c r="D337" s="55"/>
      <c r="E337" s="55"/>
      <c r="F337" s="55"/>
      <c r="H337" s="56"/>
      <c r="I337" s="99"/>
    </row>
    <row r="338" ht="15.75" customHeight="1">
      <c r="C338" s="54"/>
      <c r="D338" s="55"/>
      <c r="E338" s="55"/>
      <c r="F338" s="55"/>
      <c r="H338" s="56"/>
      <c r="I338" s="99"/>
    </row>
    <row r="339" ht="15.75" customHeight="1">
      <c r="C339" s="54"/>
      <c r="D339" s="55"/>
      <c r="E339" s="55"/>
      <c r="F339" s="55"/>
      <c r="H339" s="56"/>
      <c r="I339" s="99"/>
    </row>
    <row r="340" ht="15.75" customHeight="1">
      <c r="C340" s="54"/>
      <c r="D340" s="55"/>
      <c r="E340" s="55"/>
      <c r="F340" s="55"/>
      <c r="H340" s="56"/>
      <c r="I340" s="99"/>
    </row>
    <row r="341" ht="15.75" customHeight="1">
      <c r="C341" s="54"/>
      <c r="D341" s="55"/>
      <c r="E341" s="55"/>
      <c r="F341" s="55"/>
      <c r="H341" s="56"/>
      <c r="I341" s="99"/>
    </row>
    <row r="342" ht="15.75" customHeight="1">
      <c r="C342" s="54"/>
      <c r="D342" s="55"/>
      <c r="E342" s="55"/>
      <c r="F342" s="55"/>
      <c r="H342" s="56"/>
      <c r="I342" s="99"/>
    </row>
    <row r="343" ht="15.75" customHeight="1">
      <c r="C343" s="54"/>
      <c r="D343" s="55"/>
      <c r="E343" s="55"/>
      <c r="F343" s="55"/>
      <c r="H343" s="56"/>
      <c r="I343" s="99"/>
    </row>
    <row r="344" ht="15.75" customHeight="1">
      <c r="C344" s="54"/>
      <c r="D344" s="55"/>
      <c r="E344" s="55"/>
      <c r="F344" s="55"/>
      <c r="H344" s="56"/>
      <c r="I344" s="99"/>
    </row>
    <row r="345" ht="15.75" customHeight="1">
      <c r="C345" s="54"/>
      <c r="D345" s="55"/>
      <c r="E345" s="55"/>
      <c r="F345" s="55"/>
      <c r="H345" s="56"/>
      <c r="I345" s="99"/>
    </row>
    <row r="346" ht="15.75" customHeight="1">
      <c r="C346" s="54"/>
      <c r="D346" s="55"/>
      <c r="E346" s="55"/>
      <c r="F346" s="55"/>
      <c r="H346" s="56"/>
      <c r="I346" s="99"/>
    </row>
    <row r="347" ht="15.75" customHeight="1">
      <c r="C347" s="54"/>
      <c r="D347" s="55"/>
      <c r="E347" s="55"/>
      <c r="F347" s="55"/>
      <c r="H347" s="56"/>
      <c r="I347" s="99"/>
    </row>
    <row r="348" ht="15.75" customHeight="1">
      <c r="C348" s="54"/>
      <c r="D348" s="55"/>
      <c r="E348" s="55"/>
      <c r="F348" s="55"/>
      <c r="H348" s="56"/>
      <c r="I348" s="99"/>
    </row>
    <row r="349" ht="15.75" customHeight="1">
      <c r="C349" s="54"/>
      <c r="D349" s="55"/>
      <c r="E349" s="55"/>
      <c r="F349" s="55"/>
      <c r="H349" s="56"/>
      <c r="I349" s="99"/>
    </row>
    <row r="350" ht="15.75" customHeight="1">
      <c r="C350" s="54"/>
      <c r="D350" s="55"/>
      <c r="E350" s="55"/>
      <c r="F350" s="55"/>
      <c r="H350" s="56"/>
      <c r="I350" s="99"/>
    </row>
    <row r="351" ht="15.75" customHeight="1">
      <c r="C351" s="54"/>
      <c r="D351" s="55"/>
      <c r="E351" s="55"/>
      <c r="F351" s="55"/>
      <c r="H351" s="56"/>
      <c r="I351" s="99"/>
    </row>
    <row r="352" ht="15.75" customHeight="1">
      <c r="C352" s="54"/>
      <c r="D352" s="55"/>
      <c r="E352" s="55"/>
      <c r="F352" s="55"/>
      <c r="H352" s="56"/>
      <c r="I352" s="99"/>
    </row>
    <row r="353" ht="15.75" customHeight="1">
      <c r="C353" s="54"/>
      <c r="D353" s="55"/>
      <c r="E353" s="55"/>
      <c r="F353" s="55"/>
      <c r="H353" s="56"/>
      <c r="I353" s="99"/>
    </row>
    <row r="354" ht="15.75" customHeight="1">
      <c r="C354" s="54"/>
      <c r="D354" s="55"/>
      <c r="E354" s="55"/>
      <c r="F354" s="55"/>
      <c r="H354" s="56"/>
      <c r="I354" s="99"/>
    </row>
    <row r="355" ht="15.75" customHeight="1">
      <c r="C355" s="54"/>
      <c r="D355" s="55"/>
      <c r="E355" s="55"/>
      <c r="F355" s="55"/>
      <c r="H355" s="56"/>
      <c r="I355" s="99"/>
    </row>
    <row r="356" ht="15.75" customHeight="1">
      <c r="C356" s="54"/>
      <c r="D356" s="55"/>
      <c r="E356" s="55"/>
      <c r="F356" s="55"/>
      <c r="H356" s="56"/>
      <c r="I356" s="99"/>
    </row>
    <row r="357" ht="15.75" customHeight="1">
      <c r="C357" s="54"/>
      <c r="D357" s="55"/>
      <c r="E357" s="55"/>
      <c r="F357" s="55"/>
      <c r="H357" s="56"/>
      <c r="I357" s="99"/>
    </row>
    <row r="358" ht="15.75" customHeight="1">
      <c r="C358" s="54"/>
      <c r="D358" s="55"/>
      <c r="E358" s="55"/>
      <c r="F358" s="55"/>
      <c r="H358" s="56"/>
      <c r="I358" s="99"/>
    </row>
    <row r="359" ht="15.75" customHeight="1">
      <c r="C359" s="54"/>
      <c r="D359" s="55"/>
      <c r="E359" s="55"/>
      <c r="F359" s="55"/>
      <c r="H359" s="56"/>
      <c r="I359" s="99"/>
    </row>
    <row r="360" ht="15.75" customHeight="1">
      <c r="C360" s="54"/>
      <c r="D360" s="55"/>
      <c r="E360" s="55"/>
      <c r="F360" s="55"/>
      <c r="H360" s="56"/>
      <c r="I360" s="99"/>
    </row>
    <row r="361" ht="15.75" customHeight="1">
      <c r="C361" s="54"/>
      <c r="D361" s="55"/>
      <c r="E361" s="55"/>
      <c r="F361" s="55"/>
      <c r="H361" s="56"/>
      <c r="I361" s="99"/>
    </row>
    <row r="362" ht="15.75" customHeight="1">
      <c r="C362" s="54"/>
      <c r="D362" s="55"/>
      <c r="E362" s="55"/>
      <c r="F362" s="55"/>
      <c r="H362" s="56"/>
      <c r="I362" s="99"/>
    </row>
    <row r="363" ht="15.75" customHeight="1">
      <c r="C363" s="54"/>
      <c r="D363" s="55"/>
      <c r="E363" s="55"/>
      <c r="F363" s="55"/>
      <c r="H363" s="56"/>
      <c r="I363" s="99"/>
    </row>
    <row r="364" ht="15.75" customHeight="1">
      <c r="C364" s="54"/>
      <c r="D364" s="55"/>
      <c r="E364" s="55"/>
      <c r="F364" s="55"/>
      <c r="H364" s="56"/>
      <c r="I364" s="99"/>
    </row>
    <row r="365" ht="15.75" customHeight="1">
      <c r="C365" s="54"/>
      <c r="D365" s="55"/>
      <c r="E365" s="55"/>
      <c r="F365" s="55"/>
      <c r="H365" s="56"/>
      <c r="I365" s="99"/>
    </row>
    <row r="366" ht="15.75" customHeight="1">
      <c r="C366" s="54"/>
      <c r="D366" s="55"/>
      <c r="E366" s="55"/>
      <c r="F366" s="55"/>
      <c r="H366" s="56"/>
      <c r="I366" s="99"/>
    </row>
    <row r="367" ht="15.75" customHeight="1">
      <c r="C367" s="54"/>
      <c r="D367" s="55"/>
      <c r="E367" s="55"/>
      <c r="F367" s="55"/>
      <c r="H367" s="56"/>
      <c r="I367" s="99"/>
    </row>
    <row r="368" ht="15.75" customHeight="1">
      <c r="C368" s="54"/>
      <c r="D368" s="55"/>
      <c r="E368" s="55"/>
      <c r="F368" s="55"/>
      <c r="H368" s="56"/>
      <c r="I368" s="99"/>
    </row>
    <row r="369" ht="15.75" customHeight="1">
      <c r="C369" s="54"/>
      <c r="D369" s="55"/>
      <c r="E369" s="55"/>
      <c r="F369" s="55"/>
      <c r="H369" s="56"/>
      <c r="I369" s="99"/>
    </row>
    <row r="370" ht="15.75" customHeight="1">
      <c r="C370" s="54"/>
      <c r="D370" s="55"/>
      <c r="E370" s="55"/>
      <c r="F370" s="55"/>
      <c r="H370" s="56"/>
      <c r="I370" s="99"/>
    </row>
    <row r="371" ht="15.75" customHeight="1">
      <c r="C371" s="54"/>
      <c r="D371" s="55"/>
      <c r="E371" s="55"/>
      <c r="F371" s="55"/>
      <c r="H371" s="56"/>
      <c r="I371" s="99"/>
    </row>
    <row r="372" ht="15.75" customHeight="1">
      <c r="C372" s="54"/>
      <c r="D372" s="55"/>
      <c r="E372" s="55"/>
      <c r="F372" s="55"/>
      <c r="H372" s="56"/>
      <c r="I372" s="99"/>
    </row>
    <row r="373" ht="15.75" customHeight="1">
      <c r="C373" s="54"/>
      <c r="D373" s="55"/>
      <c r="E373" s="55"/>
      <c r="F373" s="55"/>
      <c r="H373" s="56"/>
      <c r="I373" s="99"/>
    </row>
    <row r="374" ht="15.75" customHeight="1">
      <c r="C374" s="54"/>
      <c r="D374" s="55"/>
      <c r="E374" s="55"/>
      <c r="F374" s="55"/>
      <c r="H374" s="56"/>
      <c r="I374" s="99"/>
    </row>
    <row r="375" ht="15.75" customHeight="1">
      <c r="C375" s="54"/>
      <c r="D375" s="55"/>
      <c r="E375" s="55"/>
      <c r="F375" s="55"/>
      <c r="H375" s="56"/>
      <c r="I375" s="99"/>
    </row>
    <row r="376" ht="15.75" customHeight="1">
      <c r="C376" s="54"/>
      <c r="D376" s="55"/>
      <c r="E376" s="55"/>
      <c r="F376" s="55"/>
      <c r="H376" s="56"/>
      <c r="I376" s="99"/>
    </row>
    <row r="377" ht="15.75" customHeight="1">
      <c r="C377" s="54"/>
      <c r="D377" s="55"/>
      <c r="E377" s="55"/>
      <c r="F377" s="55"/>
      <c r="H377" s="56"/>
      <c r="I377" s="99"/>
    </row>
    <row r="378" ht="15.75" customHeight="1">
      <c r="C378" s="54"/>
      <c r="D378" s="55"/>
      <c r="E378" s="55"/>
      <c r="F378" s="55"/>
      <c r="H378" s="56"/>
      <c r="I378" s="99"/>
    </row>
    <row r="379" ht="15.75" customHeight="1">
      <c r="C379" s="54"/>
      <c r="D379" s="55"/>
      <c r="E379" s="55"/>
      <c r="F379" s="55"/>
      <c r="H379" s="56"/>
      <c r="I379" s="99"/>
    </row>
    <row r="380" ht="15.75" customHeight="1">
      <c r="C380" s="54"/>
      <c r="D380" s="55"/>
      <c r="E380" s="55"/>
      <c r="F380" s="55"/>
      <c r="H380" s="56"/>
      <c r="I380" s="99"/>
    </row>
    <row r="381" ht="15.75" customHeight="1">
      <c r="C381" s="54"/>
      <c r="D381" s="55"/>
      <c r="E381" s="55"/>
      <c r="F381" s="55"/>
      <c r="H381" s="56"/>
      <c r="I381" s="99"/>
    </row>
    <row r="382" ht="15.75" customHeight="1">
      <c r="C382" s="54"/>
      <c r="D382" s="55"/>
      <c r="E382" s="55"/>
      <c r="F382" s="55"/>
      <c r="H382" s="56"/>
      <c r="I382" s="99"/>
    </row>
    <row r="383" ht="15.75" customHeight="1">
      <c r="C383" s="54"/>
      <c r="D383" s="55"/>
      <c r="E383" s="55"/>
      <c r="F383" s="55"/>
      <c r="H383" s="56"/>
      <c r="I383" s="99"/>
    </row>
    <row r="384" ht="15.75" customHeight="1">
      <c r="C384" s="54"/>
      <c r="D384" s="55"/>
      <c r="E384" s="55"/>
      <c r="F384" s="55"/>
      <c r="H384" s="56"/>
      <c r="I384" s="99"/>
    </row>
    <row r="385" ht="15.75" customHeight="1">
      <c r="C385" s="54"/>
      <c r="D385" s="55"/>
      <c r="E385" s="55"/>
      <c r="F385" s="55"/>
      <c r="H385" s="56"/>
      <c r="I385" s="99"/>
    </row>
    <row r="386" ht="15.75" customHeight="1">
      <c r="C386" s="54"/>
      <c r="D386" s="55"/>
      <c r="E386" s="55"/>
      <c r="F386" s="55"/>
      <c r="H386" s="56"/>
      <c r="I386" s="99"/>
    </row>
    <row r="387" ht="15.75" customHeight="1">
      <c r="C387" s="54"/>
      <c r="D387" s="55"/>
      <c r="E387" s="55"/>
      <c r="F387" s="55"/>
      <c r="H387" s="56"/>
      <c r="I387" s="99"/>
    </row>
    <row r="388" ht="15.75" customHeight="1">
      <c r="C388" s="54"/>
      <c r="D388" s="55"/>
      <c r="E388" s="55"/>
      <c r="F388" s="55"/>
      <c r="H388" s="56"/>
      <c r="I388" s="99"/>
    </row>
    <row r="389" ht="15.75" customHeight="1">
      <c r="C389" s="54"/>
      <c r="D389" s="55"/>
      <c r="E389" s="55"/>
      <c r="F389" s="55"/>
      <c r="H389" s="56"/>
      <c r="I389" s="99"/>
    </row>
    <row r="390" ht="15.75" customHeight="1">
      <c r="C390" s="54"/>
      <c r="D390" s="55"/>
      <c r="E390" s="55"/>
      <c r="F390" s="55"/>
      <c r="H390" s="56"/>
      <c r="I390" s="99"/>
    </row>
    <row r="391" ht="15.75" customHeight="1">
      <c r="C391" s="54"/>
      <c r="D391" s="55"/>
      <c r="E391" s="55"/>
      <c r="F391" s="55"/>
      <c r="H391" s="56"/>
      <c r="I391" s="99"/>
    </row>
    <row r="392" ht="15.75" customHeight="1">
      <c r="C392" s="54"/>
      <c r="D392" s="55"/>
      <c r="E392" s="55"/>
      <c r="F392" s="55"/>
      <c r="H392" s="56"/>
      <c r="I392" s="99"/>
    </row>
    <row r="393" ht="15.75" customHeight="1">
      <c r="C393" s="54"/>
      <c r="D393" s="55"/>
      <c r="E393" s="55"/>
      <c r="F393" s="55"/>
      <c r="H393" s="56"/>
      <c r="I393" s="99"/>
    </row>
    <row r="394" ht="15.75" customHeight="1">
      <c r="C394" s="54"/>
      <c r="D394" s="55"/>
      <c r="E394" s="55"/>
      <c r="F394" s="55"/>
      <c r="H394" s="56"/>
      <c r="I394" s="99"/>
    </row>
    <row r="395" ht="15.75" customHeight="1">
      <c r="C395" s="54"/>
      <c r="D395" s="55"/>
      <c r="E395" s="55"/>
      <c r="F395" s="55"/>
      <c r="H395" s="56"/>
      <c r="I395" s="99"/>
    </row>
    <row r="396" ht="15.75" customHeight="1">
      <c r="C396" s="54"/>
      <c r="D396" s="55"/>
      <c r="E396" s="55"/>
      <c r="F396" s="55"/>
      <c r="H396" s="56"/>
      <c r="I396" s="99"/>
    </row>
    <row r="397" ht="15.75" customHeight="1">
      <c r="C397" s="54"/>
      <c r="D397" s="55"/>
      <c r="E397" s="55"/>
      <c r="F397" s="55"/>
      <c r="H397" s="56"/>
      <c r="I397" s="99"/>
    </row>
    <row r="398" ht="15.75" customHeight="1">
      <c r="C398" s="54"/>
      <c r="D398" s="55"/>
      <c r="E398" s="55"/>
      <c r="F398" s="55"/>
      <c r="H398" s="56"/>
      <c r="I398" s="99"/>
    </row>
    <row r="399" ht="15.75" customHeight="1">
      <c r="C399" s="54"/>
      <c r="D399" s="55"/>
      <c r="E399" s="55"/>
      <c r="F399" s="55"/>
      <c r="H399" s="56"/>
      <c r="I399" s="99"/>
    </row>
    <row r="400" ht="15.75" customHeight="1">
      <c r="C400" s="54"/>
      <c r="D400" s="55"/>
      <c r="E400" s="55"/>
      <c r="F400" s="55"/>
      <c r="H400" s="56"/>
      <c r="I400" s="99"/>
    </row>
    <row r="401" ht="15.75" customHeight="1">
      <c r="C401" s="54"/>
      <c r="D401" s="55"/>
      <c r="E401" s="55"/>
      <c r="F401" s="55"/>
      <c r="H401" s="56"/>
      <c r="I401" s="99"/>
    </row>
    <row r="402" ht="15.75" customHeight="1">
      <c r="C402" s="54"/>
      <c r="D402" s="55"/>
      <c r="E402" s="55"/>
      <c r="F402" s="55"/>
      <c r="H402" s="56"/>
      <c r="I402" s="99"/>
    </row>
    <row r="403" ht="15.75" customHeight="1">
      <c r="C403" s="54"/>
      <c r="D403" s="55"/>
      <c r="E403" s="55"/>
      <c r="F403" s="55"/>
      <c r="H403" s="56"/>
      <c r="I403" s="99"/>
    </row>
    <row r="404" ht="15.75" customHeight="1">
      <c r="C404" s="54"/>
      <c r="D404" s="55"/>
      <c r="E404" s="55"/>
      <c r="F404" s="55"/>
      <c r="H404" s="56"/>
      <c r="I404" s="99"/>
    </row>
    <row r="405" ht="15.75" customHeight="1">
      <c r="C405" s="54"/>
      <c r="D405" s="55"/>
      <c r="E405" s="55"/>
      <c r="F405" s="55"/>
      <c r="H405" s="56"/>
      <c r="I405" s="99"/>
    </row>
    <row r="406" ht="15.75" customHeight="1">
      <c r="C406" s="54"/>
      <c r="D406" s="55"/>
      <c r="E406" s="55"/>
      <c r="F406" s="55"/>
      <c r="H406" s="56"/>
      <c r="I406" s="99"/>
    </row>
    <row r="407" ht="15.75" customHeight="1">
      <c r="C407" s="54"/>
      <c r="D407" s="55"/>
      <c r="E407" s="55"/>
      <c r="F407" s="55"/>
      <c r="H407" s="56"/>
      <c r="I407" s="99"/>
    </row>
    <row r="408" ht="15.75" customHeight="1">
      <c r="C408" s="54"/>
      <c r="D408" s="55"/>
      <c r="E408" s="55"/>
      <c r="F408" s="55"/>
      <c r="H408" s="56"/>
      <c r="I408" s="99"/>
    </row>
    <row r="409" ht="15.75" customHeight="1">
      <c r="C409" s="54"/>
      <c r="D409" s="55"/>
      <c r="E409" s="55"/>
      <c r="F409" s="55"/>
      <c r="H409" s="56"/>
      <c r="I409" s="99"/>
    </row>
    <row r="410" ht="15.75" customHeight="1">
      <c r="C410" s="54"/>
      <c r="D410" s="55"/>
      <c r="E410" s="55"/>
      <c r="F410" s="55"/>
      <c r="H410" s="56"/>
      <c r="I410" s="99"/>
    </row>
    <row r="411" ht="15.75" customHeight="1">
      <c r="C411" s="54"/>
      <c r="D411" s="55"/>
      <c r="E411" s="55"/>
      <c r="F411" s="55"/>
      <c r="H411" s="56"/>
      <c r="I411" s="99"/>
    </row>
    <row r="412" ht="15.75" customHeight="1">
      <c r="C412" s="54"/>
      <c r="D412" s="55"/>
      <c r="E412" s="55"/>
      <c r="F412" s="55"/>
      <c r="H412" s="56"/>
      <c r="I412" s="99"/>
    </row>
    <row r="413" ht="15.75" customHeight="1">
      <c r="C413" s="54"/>
      <c r="D413" s="55"/>
      <c r="E413" s="55"/>
      <c r="F413" s="55"/>
      <c r="H413" s="56"/>
      <c r="I413" s="99"/>
    </row>
    <row r="414" ht="15.75" customHeight="1">
      <c r="C414" s="54"/>
      <c r="D414" s="55"/>
      <c r="E414" s="55"/>
      <c r="F414" s="55"/>
      <c r="H414" s="56"/>
      <c r="I414" s="99"/>
    </row>
    <row r="415" ht="15.75" customHeight="1">
      <c r="C415" s="54"/>
      <c r="D415" s="55"/>
      <c r="E415" s="55"/>
      <c r="F415" s="55"/>
      <c r="H415" s="56"/>
      <c r="I415" s="99"/>
    </row>
    <row r="416" ht="15.75" customHeight="1">
      <c r="C416" s="54"/>
      <c r="D416" s="55"/>
      <c r="E416" s="55"/>
      <c r="F416" s="55"/>
      <c r="H416" s="56"/>
      <c r="I416" s="99"/>
    </row>
    <row r="417" ht="15.75" customHeight="1">
      <c r="C417" s="54"/>
      <c r="D417" s="55"/>
      <c r="E417" s="55"/>
      <c r="F417" s="55"/>
      <c r="H417" s="56"/>
      <c r="I417" s="99"/>
    </row>
    <row r="418" ht="15.75" customHeight="1">
      <c r="C418" s="54"/>
      <c r="D418" s="55"/>
      <c r="E418" s="55"/>
      <c r="F418" s="55"/>
      <c r="H418" s="56"/>
      <c r="I418" s="99"/>
    </row>
    <row r="419" ht="15.75" customHeight="1">
      <c r="C419" s="54"/>
      <c r="D419" s="55"/>
      <c r="E419" s="55"/>
      <c r="F419" s="55"/>
      <c r="H419" s="56"/>
      <c r="I419" s="99"/>
    </row>
    <row r="420" ht="15.75" customHeight="1">
      <c r="C420" s="54"/>
      <c r="D420" s="55"/>
      <c r="E420" s="55"/>
      <c r="F420" s="55"/>
      <c r="H420" s="56"/>
      <c r="I420" s="99"/>
    </row>
    <row r="421" ht="15.75" customHeight="1">
      <c r="C421" s="54"/>
      <c r="D421" s="55"/>
      <c r="E421" s="55"/>
      <c r="F421" s="55"/>
      <c r="H421" s="56"/>
      <c r="I421" s="99"/>
    </row>
    <row r="422" ht="15.75" customHeight="1">
      <c r="C422" s="54"/>
      <c r="D422" s="55"/>
      <c r="E422" s="55"/>
      <c r="F422" s="55"/>
      <c r="H422" s="56"/>
      <c r="I422" s="99"/>
    </row>
    <row r="423" ht="15.75" customHeight="1">
      <c r="C423" s="54"/>
      <c r="D423" s="55"/>
      <c r="E423" s="55"/>
      <c r="F423" s="55"/>
      <c r="H423" s="56"/>
      <c r="I423" s="99"/>
    </row>
    <row r="424" ht="15.75" customHeight="1">
      <c r="C424" s="54"/>
      <c r="D424" s="55"/>
      <c r="E424" s="55"/>
      <c r="F424" s="55"/>
      <c r="H424" s="56"/>
      <c r="I424" s="99"/>
    </row>
    <row r="425" ht="15.75" customHeight="1">
      <c r="C425" s="54"/>
      <c r="D425" s="55"/>
      <c r="E425" s="55"/>
      <c r="F425" s="55"/>
      <c r="H425" s="56"/>
      <c r="I425" s="99"/>
    </row>
    <row r="426" ht="15.75" customHeight="1">
      <c r="C426" s="54"/>
      <c r="D426" s="55"/>
      <c r="E426" s="55"/>
      <c r="F426" s="55"/>
      <c r="H426" s="56"/>
      <c r="I426" s="99"/>
    </row>
    <row r="427" ht="15.75" customHeight="1">
      <c r="C427" s="54"/>
      <c r="D427" s="55"/>
      <c r="E427" s="55"/>
      <c r="F427" s="55"/>
      <c r="H427" s="56"/>
      <c r="I427" s="99"/>
    </row>
    <row r="428" ht="15.75" customHeight="1">
      <c r="C428" s="54"/>
      <c r="D428" s="55"/>
      <c r="E428" s="55"/>
      <c r="F428" s="55"/>
      <c r="H428" s="56"/>
      <c r="I428" s="99"/>
    </row>
    <row r="429" ht="15.75" customHeight="1">
      <c r="C429" s="54"/>
      <c r="D429" s="55"/>
      <c r="E429" s="55"/>
      <c r="F429" s="55"/>
      <c r="H429" s="56"/>
      <c r="I429" s="99"/>
    </row>
    <row r="430" ht="15.75" customHeight="1">
      <c r="C430" s="54"/>
      <c r="D430" s="55"/>
      <c r="E430" s="55"/>
      <c r="F430" s="55"/>
      <c r="H430" s="56"/>
      <c r="I430" s="99"/>
    </row>
    <row r="431" ht="15.75" customHeight="1">
      <c r="C431" s="54"/>
      <c r="D431" s="55"/>
      <c r="E431" s="55"/>
      <c r="F431" s="55"/>
      <c r="H431" s="56"/>
      <c r="I431" s="99"/>
    </row>
    <row r="432" ht="15.75" customHeight="1">
      <c r="C432" s="54"/>
      <c r="D432" s="55"/>
      <c r="E432" s="55"/>
      <c r="F432" s="55"/>
      <c r="H432" s="56"/>
      <c r="I432" s="99"/>
    </row>
    <row r="433" ht="15.75" customHeight="1">
      <c r="C433" s="54"/>
      <c r="D433" s="55"/>
      <c r="E433" s="55"/>
      <c r="F433" s="55"/>
      <c r="H433" s="56"/>
      <c r="I433" s="99"/>
    </row>
    <row r="434" ht="15.75" customHeight="1">
      <c r="C434" s="54"/>
      <c r="D434" s="55"/>
      <c r="E434" s="55"/>
      <c r="F434" s="55"/>
      <c r="H434" s="56"/>
      <c r="I434" s="99"/>
    </row>
    <row r="435" ht="15.75" customHeight="1">
      <c r="C435" s="54"/>
      <c r="D435" s="55"/>
      <c r="E435" s="55"/>
      <c r="F435" s="55"/>
      <c r="H435" s="56"/>
      <c r="I435" s="99"/>
    </row>
    <row r="436" ht="15.75" customHeight="1">
      <c r="C436" s="54"/>
      <c r="D436" s="55"/>
      <c r="E436" s="55"/>
      <c r="F436" s="55"/>
      <c r="H436" s="56"/>
      <c r="I436" s="99"/>
    </row>
    <row r="437" ht="15.75" customHeight="1">
      <c r="C437" s="54"/>
      <c r="D437" s="55"/>
      <c r="E437" s="55"/>
      <c r="F437" s="55"/>
      <c r="H437" s="56"/>
      <c r="I437" s="99"/>
    </row>
    <row r="438" ht="15.75" customHeight="1">
      <c r="C438" s="54"/>
      <c r="D438" s="55"/>
      <c r="E438" s="55"/>
      <c r="F438" s="55"/>
      <c r="H438" s="56"/>
      <c r="I438" s="99"/>
    </row>
    <row r="439" ht="15.75" customHeight="1">
      <c r="C439" s="54"/>
      <c r="D439" s="55"/>
      <c r="E439" s="55"/>
      <c r="F439" s="55"/>
      <c r="H439" s="56"/>
      <c r="I439" s="99"/>
    </row>
    <row r="440" ht="15.75" customHeight="1">
      <c r="C440" s="54"/>
      <c r="D440" s="55"/>
      <c r="E440" s="55"/>
      <c r="F440" s="55"/>
      <c r="H440" s="56"/>
      <c r="I440" s="99"/>
    </row>
    <row r="441" ht="15.75" customHeight="1">
      <c r="C441" s="54"/>
      <c r="D441" s="55"/>
      <c r="E441" s="55"/>
      <c r="F441" s="55"/>
      <c r="H441" s="56"/>
      <c r="I441" s="99"/>
    </row>
    <row r="442" ht="15.75" customHeight="1">
      <c r="C442" s="54"/>
      <c r="D442" s="55"/>
      <c r="E442" s="55"/>
      <c r="F442" s="55"/>
      <c r="H442" s="56"/>
      <c r="I442" s="99"/>
    </row>
    <row r="443" ht="15.75" customHeight="1">
      <c r="C443" s="54"/>
      <c r="D443" s="55"/>
      <c r="E443" s="55"/>
      <c r="F443" s="55"/>
      <c r="H443" s="56"/>
      <c r="I443" s="99"/>
    </row>
    <row r="444" ht="15.75" customHeight="1">
      <c r="C444" s="54"/>
      <c r="D444" s="55"/>
      <c r="E444" s="55"/>
      <c r="F444" s="55"/>
      <c r="H444" s="56"/>
      <c r="I444" s="99"/>
    </row>
    <row r="445" ht="15.75" customHeight="1">
      <c r="C445" s="54"/>
      <c r="D445" s="55"/>
      <c r="E445" s="55"/>
      <c r="F445" s="55"/>
      <c r="H445" s="56"/>
      <c r="I445" s="99"/>
    </row>
    <row r="446" ht="15.75" customHeight="1">
      <c r="C446" s="54"/>
      <c r="D446" s="55"/>
      <c r="E446" s="55"/>
      <c r="F446" s="55"/>
      <c r="H446" s="56"/>
      <c r="I446" s="99"/>
    </row>
    <row r="447" ht="15.75" customHeight="1">
      <c r="C447" s="54"/>
      <c r="D447" s="55"/>
      <c r="E447" s="55"/>
      <c r="F447" s="55"/>
      <c r="H447" s="56"/>
      <c r="I447" s="99"/>
    </row>
    <row r="448" ht="15.75" customHeight="1">
      <c r="C448" s="54"/>
      <c r="D448" s="55"/>
      <c r="E448" s="55"/>
      <c r="F448" s="55"/>
      <c r="H448" s="56"/>
      <c r="I448" s="99"/>
    </row>
    <row r="449" ht="15.75" customHeight="1">
      <c r="C449" s="54"/>
      <c r="D449" s="55"/>
      <c r="E449" s="55"/>
      <c r="F449" s="55"/>
      <c r="H449" s="56"/>
      <c r="I449" s="99"/>
    </row>
    <row r="450" ht="15.75" customHeight="1">
      <c r="C450" s="54"/>
      <c r="D450" s="55"/>
      <c r="E450" s="55"/>
      <c r="F450" s="55"/>
      <c r="H450" s="56"/>
      <c r="I450" s="99"/>
    </row>
    <row r="451" ht="15.75" customHeight="1">
      <c r="C451" s="54"/>
      <c r="D451" s="55"/>
      <c r="E451" s="55"/>
      <c r="F451" s="55"/>
      <c r="H451" s="56"/>
      <c r="I451" s="99"/>
    </row>
    <row r="452" ht="15.75" customHeight="1">
      <c r="C452" s="54"/>
      <c r="D452" s="55"/>
      <c r="E452" s="55"/>
      <c r="F452" s="55"/>
      <c r="H452" s="56"/>
      <c r="I452" s="99"/>
    </row>
    <row r="453" ht="15.75" customHeight="1">
      <c r="C453" s="54"/>
      <c r="D453" s="55"/>
      <c r="E453" s="55"/>
      <c r="F453" s="55"/>
      <c r="H453" s="56"/>
      <c r="I453" s="99"/>
    </row>
    <row r="454" ht="15.75" customHeight="1">
      <c r="C454" s="54"/>
      <c r="D454" s="55"/>
      <c r="E454" s="55"/>
      <c r="F454" s="55"/>
      <c r="H454" s="56"/>
      <c r="I454" s="99"/>
    </row>
    <row r="455" ht="15.75" customHeight="1">
      <c r="C455" s="54"/>
      <c r="D455" s="55"/>
      <c r="E455" s="55"/>
      <c r="F455" s="55"/>
      <c r="H455" s="56"/>
      <c r="I455" s="99"/>
    </row>
    <row r="456" ht="15.75" customHeight="1">
      <c r="C456" s="54"/>
      <c r="D456" s="55"/>
      <c r="E456" s="55"/>
      <c r="F456" s="55"/>
      <c r="H456" s="56"/>
      <c r="I456" s="99"/>
    </row>
    <row r="457" ht="15.75" customHeight="1">
      <c r="C457" s="54"/>
      <c r="D457" s="55"/>
      <c r="E457" s="55"/>
      <c r="F457" s="55"/>
      <c r="H457" s="56"/>
      <c r="I457" s="99"/>
    </row>
    <row r="458" ht="15.75" customHeight="1">
      <c r="C458" s="54"/>
      <c r="D458" s="55"/>
      <c r="E458" s="55"/>
      <c r="F458" s="55"/>
      <c r="H458" s="56"/>
      <c r="I458" s="99"/>
    </row>
    <row r="459" ht="15.75" customHeight="1">
      <c r="C459" s="54"/>
      <c r="D459" s="55"/>
      <c r="E459" s="55"/>
      <c r="F459" s="55"/>
      <c r="H459" s="56"/>
      <c r="I459" s="99"/>
    </row>
    <row r="460" ht="15.75" customHeight="1">
      <c r="C460" s="54"/>
      <c r="D460" s="55"/>
      <c r="E460" s="55"/>
      <c r="F460" s="55"/>
      <c r="H460" s="56"/>
      <c r="I460" s="99"/>
    </row>
    <row r="461" ht="15.75" customHeight="1">
      <c r="C461" s="54"/>
      <c r="D461" s="55"/>
      <c r="E461" s="55"/>
      <c r="F461" s="55"/>
      <c r="H461" s="56"/>
      <c r="I461" s="99"/>
    </row>
    <row r="462" ht="15.75" customHeight="1">
      <c r="C462" s="54"/>
      <c r="D462" s="55"/>
      <c r="E462" s="55"/>
      <c r="F462" s="55"/>
      <c r="H462" s="56"/>
      <c r="I462" s="99"/>
    </row>
    <row r="463" ht="15.75" customHeight="1">
      <c r="C463" s="54"/>
      <c r="D463" s="55"/>
      <c r="E463" s="55"/>
      <c r="F463" s="55"/>
      <c r="H463" s="56"/>
      <c r="I463" s="99"/>
    </row>
    <row r="464" ht="15.75" customHeight="1">
      <c r="C464" s="54"/>
      <c r="D464" s="55"/>
      <c r="E464" s="55"/>
      <c r="F464" s="55"/>
      <c r="H464" s="56"/>
      <c r="I464" s="99"/>
    </row>
    <row r="465" ht="15.75" customHeight="1">
      <c r="C465" s="54"/>
      <c r="D465" s="55"/>
      <c r="E465" s="55"/>
      <c r="F465" s="55"/>
      <c r="H465" s="56"/>
      <c r="I465" s="99"/>
    </row>
    <row r="466" ht="15.75" customHeight="1">
      <c r="C466" s="54"/>
      <c r="D466" s="55"/>
      <c r="E466" s="55"/>
      <c r="F466" s="55"/>
      <c r="H466" s="56"/>
      <c r="I466" s="99"/>
    </row>
    <row r="467" ht="15.75" customHeight="1">
      <c r="C467" s="54"/>
      <c r="D467" s="55"/>
      <c r="E467" s="55"/>
      <c r="F467" s="55"/>
      <c r="H467" s="56"/>
      <c r="I467" s="99"/>
    </row>
    <row r="468" ht="15.75" customHeight="1">
      <c r="C468" s="54"/>
      <c r="D468" s="55"/>
      <c r="E468" s="55"/>
      <c r="F468" s="55"/>
      <c r="H468" s="56"/>
      <c r="I468" s="99"/>
    </row>
    <row r="469" ht="15.75" customHeight="1">
      <c r="C469" s="54"/>
      <c r="D469" s="55"/>
      <c r="E469" s="55"/>
      <c r="F469" s="55"/>
      <c r="H469" s="56"/>
      <c r="I469" s="99"/>
    </row>
    <row r="470" ht="15.75" customHeight="1">
      <c r="C470" s="54"/>
      <c r="D470" s="55"/>
      <c r="E470" s="55"/>
      <c r="F470" s="55"/>
      <c r="H470" s="56"/>
      <c r="I470" s="99"/>
    </row>
    <row r="471" ht="15.75" customHeight="1">
      <c r="C471" s="54"/>
      <c r="D471" s="55"/>
      <c r="E471" s="55"/>
      <c r="F471" s="55"/>
      <c r="H471" s="56"/>
      <c r="I471" s="99"/>
    </row>
    <row r="472" ht="15.75" customHeight="1">
      <c r="C472" s="54"/>
      <c r="D472" s="55"/>
      <c r="E472" s="55"/>
      <c r="F472" s="55"/>
      <c r="H472" s="56"/>
      <c r="I472" s="99"/>
    </row>
    <row r="473" ht="15.75" customHeight="1">
      <c r="C473" s="54"/>
      <c r="D473" s="55"/>
      <c r="E473" s="55"/>
      <c r="F473" s="55"/>
      <c r="H473" s="56"/>
      <c r="I473" s="99"/>
    </row>
    <row r="474" ht="15.75" customHeight="1">
      <c r="C474" s="54"/>
      <c r="D474" s="55"/>
      <c r="E474" s="55"/>
      <c r="F474" s="55"/>
      <c r="H474" s="56"/>
      <c r="I474" s="99"/>
    </row>
    <row r="475" ht="15.75" customHeight="1">
      <c r="C475" s="54"/>
      <c r="D475" s="55"/>
      <c r="E475" s="55"/>
      <c r="F475" s="55"/>
      <c r="H475" s="56"/>
      <c r="I475" s="99"/>
    </row>
    <row r="476" ht="15.75" customHeight="1">
      <c r="C476" s="54"/>
      <c r="D476" s="55"/>
      <c r="E476" s="55"/>
      <c r="F476" s="55"/>
      <c r="H476" s="56"/>
      <c r="I476" s="99"/>
    </row>
    <row r="477" ht="15.75" customHeight="1">
      <c r="C477" s="54"/>
      <c r="D477" s="55"/>
      <c r="E477" s="55"/>
      <c r="F477" s="55"/>
      <c r="H477" s="56"/>
      <c r="I477" s="99"/>
    </row>
    <row r="478" ht="15.75" customHeight="1">
      <c r="C478" s="54"/>
      <c r="D478" s="55"/>
      <c r="E478" s="55"/>
      <c r="F478" s="55"/>
      <c r="H478" s="56"/>
      <c r="I478" s="99"/>
    </row>
    <row r="479" ht="15.75" customHeight="1">
      <c r="C479" s="54"/>
      <c r="D479" s="55"/>
      <c r="E479" s="55"/>
      <c r="F479" s="55"/>
      <c r="H479" s="56"/>
      <c r="I479" s="99"/>
    </row>
    <row r="480" ht="15.75" customHeight="1">
      <c r="C480" s="54"/>
      <c r="D480" s="55"/>
      <c r="E480" s="55"/>
      <c r="F480" s="55"/>
      <c r="H480" s="56"/>
      <c r="I480" s="99"/>
    </row>
    <row r="481" ht="15.75" customHeight="1">
      <c r="C481" s="54"/>
      <c r="D481" s="55"/>
      <c r="E481" s="55"/>
      <c r="F481" s="55"/>
      <c r="H481" s="56"/>
      <c r="I481" s="99"/>
    </row>
    <row r="482" ht="15.75" customHeight="1">
      <c r="C482" s="54"/>
      <c r="D482" s="55"/>
      <c r="E482" s="55"/>
      <c r="F482" s="55"/>
      <c r="H482" s="56"/>
      <c r="I482" s="99"/>
    </row>
    <row r="483" ht="15.75" customHeight="1">
      <c r="C483" s="54"/>
      <c r="D483" s="55"/>
      <c r="E483" s="55"/>
      <c r="F483" s="55"/>
      <c r="H483" s="56"/>
      <c r="I483" s="99"/>
    </row>
    <row r="484" ht="15.75" customHeight="1">
      <c r="C484" s="54"/>
      <c r="D484" s="55"/>
      <c r="E484" s="55"/>
      <c r="F484" s="55"/>
      <c r="H484" s="56"/>
      <c r="I484" s="99"/>
    </row>
    <row r="485" ht="15.75" customHeight="1">
      <c r="C485" s="54"/>
      <c r="D485" s="55"/>
      <c r="E485" s="55"/>
      <c r="F485" s="55"/>
      <c r="H485" s="56"/>
      <c r="I485" s="99"/>
    </row>
    <row r="486" ht="15.75" customHeight="1">
      <c r="C486" s="54"/>
      <c r="D486" s="55"/>
      <c r="E486" s="55"/>
      <c r="F486" s="55"/>
      <c r="H486" s="56"/>
      <c r="I486" s="99"/>
    </row>
    <row r="487" ht="15.75" customHeight="1">
      <c r="C487" s="54"/>
      <c r="D487" s="55"/>
      <c r="E487" s="55"/>
      <c r="F487" s="55"/>
      <c r="H487" s="56"/>
      <c r="I487" s="99"/>
    </row>
    <row r="488" ht="15.75" customHeight="1">
      <c r="C488" s="54"/>
      <c r="D488" s="55"/>
      <c r="E488" s="55"/>
      <c r="F488" s="55"/>
      <c r="H488" s="56"/>
      <c r="I488" s="99"/>
    </row>
    <row r="489" ht="15.75" customHeight="1">
      <c r="C489" s="54"/>
      <c r="D489" s="55"/>
      <c r="E489" s="55"/>
      <c r="F489" s="55"/>
      <c r="H489" s="56"/>
      <c r="I489" s="99"/>
    </row>
    <row r="490" ht="15.75" customHeight="1">
      <c r="C490" s="54"/>
      <c r="D490" s="55"/>
      <c r="E490" s="55"/>
      <c r="F490" s="55"/>
      <c r="H490" s="56"/>
      <c r="I490" s="99"/>
    </row>
    <row r="491" ht="15.75" customHeight="1">
      <c r="C491" s="54"/>
      <c r="D491" s="55"/>
      <c r="E491" s="55"/>
      <c r="F491" s="55"/>
      <c r="H491" s="56"/>
      <c r="I491" s="99"/>
    </row>
    <row r="492" ht="15.75" customHeight="1">
      <c r="C492" s="54"/>
      <c r="D492" s="55"/>
      <c r="E492" s="55"/>
      <c r="F492" s="55"/>
      <c r="H492" s="56"/>
      <c r="I492" s="99"/>
    </row>
    <row r="493" ht="15.75" customHeight="1">
      <c r="C493" s="54"/>
      <c r="D493" s="55"/>
      <c r="E493" s="55"/>
      <c r="F493" s="55"/>
      <c r="H493" s="56"/>
      <c r="I493" s="99"/>
    </row>
    <row r="494" ht="15.75" customHeight="1">
      <c r="C494" s="54"/>
      <c r="D494" s="55"/>
      <c r="E494" s="55"/>
      <c r="F494" s="55"/>
      <c r="H494" s="56"/>
      <c r="I494" s="99"/>
    </row>
    <row r="495" ht="15.75" customHeight="1">
      <c r="C495" s="54"/>
      <c r="D495" s="55"/>
      <c r="E495" s="55"/>
      <c r="F495" s="55"/>
      <c r="H495" s="56"/>
      <c r="I495" s="99"/>
    </row>
    <row r="496" ht="15.75" customHeight="1">
      <c r="C496" s="54"/>
      <c r="D496" s="55"/>
      <c r="E496" s="55"/>
      <c r="F496" s="55"/>
      <c r="H496" s="56"/>
      <c r="I496" s="99"/>
    </row>
    <row r="497" ht="15.75" customHeight="1">
      <c r="C497" s="54"/>
      <c r="D497" s="55"/>
      <c r="E497" s="55"/>
      <c r="F497" s="55"/>
      <c r="H497" s="56"/>
      <c r="I497" s="99"/>
    </row>
    <row r="498" ht="15.75" customHeight="1">
      <c r="C498" s="54"/>
      <c r="D498" s="55"/>
      <c r="E498" s="55"/>
      <c r="F498" s="55"/>
      <c r="H498" s="56"/>
      <c r="I498" s="99"/>
    </row>
    <row r="499" ht="15.75" customHeight="1">
      <c r="C499" s="54"/>
      <c r="D499" s="55"/>
      <c r="E499" s="55"/>
      <c r="F499" s="55"/>
      <c r="H499" s="56"/>
      <c r="I499" s="99"/>
    </row>
    <row r="500" ht="15.75" customHeight="1">
      <c r="C500" s="54"/>
      <c r="D500" s="55"/>
      <c r="E500" s="55"/>
      <c r="F500" s="55"/>
      <c r="H500" s="56"/>
      <c r="I500" s="99"/>
    </row>
    <row r="501" ht="15.75" customHeight="1">
      <c r="C501" s="54"/>
      <c r="D501" s="55"/>
      <c r="E501" s="55"/>
      <c r="F501" s="55"/>
      <c r="H501" s="56"/>
      <c r="I501" s="99"/>
    </row>
    <row r="502" ht="15.75" customHeight="1">
      <c r="C502" s="54"/>
      <c r="D502" s="55"/>
      <c r="E502" s="55"/>
      <c r="F502" s="55"/>
      <c r="H502" s="56"/>
      <c r="I502" s="99"/>
    </row>
    <row r="503" ht="15.75" customHeight="1">
      <c r="C503" s="54"/>
      <c r="D503" s="55"/>
      <c r="E503" s="55"/>
      <c r="F503" s="55"/>
      <c r="H503" s="56"/>
      <c r="I503" s="99"/>
    </row>
    <row r="504" ht="15.75" customHeight="1">
      <c r="C504" s="54"/>
      <c r="D504" s="55"/>
      <c r="E504" s="55"/>
      <c r="F504" s="55"/>
      <c r="H504" s="56"/>
      <c r="I504" s="99"/>
    </row>
    <row r="505" ht="15.75" customHeight="1">
      <c r="C505" s="54"/>
      <c r="D505" s="55"/>
      <c r="E505" s="55"/>
      <c r="F505" s="55"/>
      <c r="H505" s="56"/>
      <c r="I505" s="99"/>
    </row>
    <row r="506" ht="15.75" customHeight="1">
      <c r="C506" s="54"/>
      <c r="D506" s="55"/>
      <c r="E506" s="55"/>
      <c r="F506" s="55"/>
      <c r="H506" s="56"/>
      <c r="I506" s="99"/>
    </row>
    <row r="507" ht="15.75" customHeight="1">
      <c r="C507" s="54"/>
      <c r="D507" s="55"/>
      <c r="E507" s="55"/>
      <c r="F507" s="55"/>
      <c r="H507" s="56"/>
      <c r="I507" s="99"/>
    </row>
    <row r="508" ht="15.75" customHeight="1">
      <c r="C508" s="54"/>
      <c r="D508" s="55"/>
      <c r="E508" s="55"/>
      <c r="F508" s="55"/>
      <c r="H508" s="56"/>
      <c r="I508" s="99"/>
    </row>
    <row r="509" ht="15.75" customHeight="1">
      <c r="C509" s="54"/>
      <c r="D509" s="55"/>
      <c r="E509" s="55"/>
      <c r="F509" s="55"/>
      <c r="H509" s="56"/>
      <c r="I509" s="99"/>
    </row>
    <row r="510" ht="15.75" customHeight="1">
      <c r="C510" s="54"/>
      <c r="D510" s="55"/>
      <c r="E510" s="55"/>
      <c r="F510" s="55"/>
      <c r="H510" s="56"/>
      <c r="I510" s="99"/>
    </row>
    <row r="511" ht="15.75" customHeight="1">
      <c r="C511" s="54"/>
      <c r="D511" s="55"/>
      <c r="E511" s="55"/>
      <c r="F511" s="55"/>
      <c r="H511" s="56"/>
      <c r="I511" s="99"/>
    </row>
    <row r="512" ht="15.75" customHeight="1">
      <c r="C512" s="54"/>
      <c r="D512" s="55"/>
      <c r="E512" s="55"/>
      <c r="F512" s="55"/>
      <c r="H512" s="56"/>
      <c r="I512" s="99"/>
    </row>
    <row r="513" ht="15.75" customHeight="1">
      <c r="C513" s="54"/>
      <c r="D513" s="55"/>
      <c r="E513" s="55"/>
      <c r="F513" s="55"/>
      <c r="H513" s="56"/>
      <c r="I513" s="99"/>
    </row>
    <row r="514" ht="15.75" customHeight="1">
      <c r="C514" s="54"/>
      <c r="D514" s="55"/>
      <c r="E514" s="55"/>
      <c r="F514" s="55"/>
      <c r="H514" s="56"/>
      <c r="I514" s="99"/>
    </row>
    <row r="515" ht="15.75" customHeight="1">
      <c r="C515" s="54"/>
      <c r="D515" s="55"/>
      <c r="E515" s="55"/>
      <c r="F515" s="55"/>
      <c r="H515" s="56"/>
      <c r="I515" s="99"/>
    </row>
    <row r="516" ht="15.75" customHeight="1">
      <c r="C516" s="54"/>
      <c r="D516" s="55"/>
      <c r="E516" s="55"/>
      <c r="F516" s="55"/>
      <c r="H516" s="56"/>
      <c r="I516" s="99"/>
    </row>
    <row r="517" ht="15.75" customHeight="1">
      <c r="C517" s="54"/>
      <c r="D517" s="55"/>
      <c r="E517" s="55"/>
      <c r="F517" s="55"/>
      <c r="H517" s="56"/>
      <c r="I517" s="99"/>
    </row>
    <row r="518" ht="15.75" customHeight="1">
      <c r="C518" s="54"/>
      <c r="D518" s="55"/>
      <c r="E518" s="55"/>
      <c r="F518" s="55"/>
      <c r="H518" s="56"/>
      <c r="I518" s="99"/>
    </row>
    <row r="519" ht="15.75" customHeight="1">
      <c r="C519" s="54"/>
      <c r="D519" s="55"/>
      <c r="E519" s="55"/>
      <c r="F519" s="55"/>
      <c r="H519" s="56"/>
      <c r="I519" s="99"/>
    </row>
    <row r="520" ht="15.75" customHeight="1">
      <c r="C520" s="54"/>
      <c r="D520" s="55"/>
      <c r="E520" s="55"/>
      <c r="F520" s="55"/>
      <c r="H520" s="56"/>
      <c r="I520" s="99"/>
    </row>
    <row r="521" ht="15.75" customHeight="1">
      <c r="C521" s="54"/>
      <c r="D521" s="55"/>
      <c r="E521" s="55"/>
      <c r="F521" s="55"/>
      <c r="H521" s="56"/>
      <c r="I521" s="99"/>
    </row>
    <row r="522" ht="15.75" customHeight="1">
      <c r="C522" s="54"/>
      <c r="D522" s="55"/>
      <c r="E522" s="55"/>
      <c r="F522" s="55"/>
      <c r="H522" s="56"/>
      <c r="I522" s="99"/>
    </row>
    <row r="523" ht="15.75" customHeight="1">
      <c r="C523" s="54"/>
      <c r="D523" s="55"/>
      <c r="E523" s="55"/>
      <c r="F523" s="55"/>
      <c r="H523" s="56"/>
      <c r="I523" s="99"/>
    </row>
    <row r="524" ht="15.75" customHeight="1">
      <c r="C524" s="54"/>
      <c r="D524" s="55"/>
      <c r="E524" s="55"/>
      <c r="F524" s="55"/>
      <c r="H524" s="56"/>
      <c r="I524" s="99"/>
    </row>
    <row r="525" ht="15.75" customHeight="1">
      <c r="C525" s="54"/>
      <c r="D525" s="55"/>
      <c r="E525" s="55"/>
      <c r="F525" s="55"/>
      <c r="H525" s="56"/>
      <c r="I525" s="99"/>
    </row>
    <row r="526" ht="15.75" customHeight="1">
      <c r="C526" s="54"/>
      <c r="D526" s="55"/>
      <c r="E526" s="55"/>
      <c r="F526" s="55"/>
      <c r="H526" s="56"/>
      <c r="I526" s="99"/>
    </row>
    <row r="527" ht="15.75" customHeight="1">
      <c r="C527" s="54"/>
      <c r="D527" s="55"/>
      <c r="E527" s="55"/>
      <c r="F527" s="55"/>
      <c r="H527" s="56"/>
      <c r="I527" s="99"/>
    </row>
    <row r="528" ht="15.75" customHeight="1">
      <c r="C528" s="54"/>
      <c r="D528" s="55"/>
      <c r="E528" s="55"/>
      <c r="F528" s="55"/>
      <c r="H528" s="56"/>
      <c r="I528" s="99"/>
    </row>
    <row r="529" ht="15.75" customHeight="1">
      <c r="C529" s="54"/>
      <c r="D529" s="55"/>
      <c r="E529" s="55"/>
      <c r="F529" s="55"/>
      <c r="H529" s="56"/>
      <c r="I529" s="99"/>
    </row>
    <row r="530" ht="15.75" customHeight="1">
      <c r="C530" s="54"/>
      <c r="D530" s="55"/>
      <c r="E530" s="55"/>
      <c r="F530" s="55"/>
      <c r="H530" s="56"/>
      <c r="I530" s="99"/>
    </row>
    <row r="531" ht="15.75" customHeight="1">
      <c r="C531" s="54"/>
      <c r="D531" s="55"/>
      <c r="E531" s="55"/>
      <c r="F531" s="55"/>
      <c r="H531" s="56"/>
      <c r="I531" s="99"/>
    </row>
    <row r="532" ht="15.75" customHeight="1">
      <c r="C532" s="54"/>
      <c r="D532" s="55"/>
      <c r="E532" s="55"/>
      <c r="F532" s="55"/>
      <c r="H532" s="56"/>
      <c r="I532" s="99"/>
    </row>
    <row r="533" ht="15.75" customHeight="1">
      <c r="C533" s="54"/>
      <c r="D533" s="55"/>
      <c r="E533" s="55"/>
      <c r="F533" s="55"/>
      <c r="H533" s="56"/>
      <c r="I533" s="99"/>
    </row>
    <row r="534" ht="15.75" customHeight="1">
      <c r="C534" s="54"/>
      <c r="D534" s="55"/>
      <c r="E534" s="55"/>
      <c r="F534" s="55"/>
      <c r="H534" s="56"/>
      <c r="I534" s="99"/>
    </row>
    <row r="535" ht="15.75" customHeight="1">
      <c r="C535" s="54"/>
      <c r="D535" s="55"/>
      <c r="E535" s="55"/>
      <c r="F535" s="55"/>
      <c r="H535" s="56"/>
      <c r="I535" s="99"/>
    </row>
    <row r="536" ht="15.75" customHeight="1">
      <c r="C536" s="54"/>
      <c r="D536" s="55"/>
      <c r="E536" s="55"/>
      <c r="F536" s="55"/>
      <c r="H536" s="56"/>
      <c r="I536" s="99"/>
    </row>
    <row r="537" ht="15.75" customHeight="1">
      <c r="C537" s="54"/>
      <c r="D537" s="55"/>
      <c r="E537" s="55"/>
      <c r="F537" s="55"/>
      <c r="H537" s="56"/>
      <c r="I537" s="99"/>
    </row>
    <row r="538" ht="15.75" customHeight="1">
      <c r="C538" s="54"/>
      <c r="D538" s="55"/>
      <c r="E538" s="55"/>
      <c r="F538" s="55"/>
      <c r="H538" s="56"/>
      <c r="I538" s="99"/>
    </row>
    <row r="539" ht="15.75" customHeight="1">
      <c r="C539" s="54"/>
      <c r="D539" s="55"/>
      <c r="E539" s="55"/>
      <c r="F539" s="55"/>
      <c r="H539" s="56"/>
      <c r="I539" s="99"/>
    </row>
    <row r="540" ht="15.75" customHeight="1">
      <c r="C540" s="54"/>
      <c r="D540" s="55"/>
      <c r="E540" s="55"/>
      <c r="F540" s="55"/>
      <c r="H540" s="56"/>
      <c r="I540" s="99"/>
    </row>
    <row r="541" ht="15.75" customHeight="1">
      <c r="C541" s="54"/>
      <c r="D541" s="55"/>
      <c r="E541" s="55"/>
      <c r="F541" s="55"/>
      <c r="H541" s="56"/>
      <c r="I541" s="99"/>
    </row>
    <row r="542" ht="15.75" customHeight="1">
      <c r="C542" s="54"/>
      <c r="D542" s="55"/>
      <c r="E542" s="55"/>
      <c r="F542" s="55"/>
      <c r="H542" s="56"/>
      <c r="I542" s="99"/>
    </row>
    <row r="543" ht="15.75" customHeight="1">
      <c r="C543" s="54"/>
      <c r="D543" s="55"/>
      <c r="E543" s="55"/>
      <c r="F543" s="55"/>
      <c r="H543" s="56"/>
      <c r="I543" s="99"/>
    </row>
    <row r="544" ht="15.75" customHeight="1">
      <c r="C544" s="54"/>
      <c r="D544" s="55"/>
      <c r="E544" s="55"/>
      <c r="F544" s="55"/>
      <c r="H544" s="56"/>
      <c r="I544" s="99"/>
    </row>
    <row r="545" ht="15.75" customHeight="1">
      <c r="C545" s="54"/>
      <c r="D545" s="55"/>
      <c r="E545" s="55"/>
      <c r="F545" s="55"/>
      <c r="H545" s="56"/>
      <c r="I545" s="99"/>
    </row>
    <row r="546" ht="15.75" customHeight="1">
      <c r="C546" s="54"/>
      <c r="D546" s="55"/>
      <c r="E546" s="55"/>
      <c r="F546" s="55"/>
      <c r="H546" s="56"/>
      <c r="I546" s="99"/>
    </row>
    <row r="547" ht="15.75" customHeight="1">
      <c r="C547" s="54"/>
      <c r="D547" s="55"/>
      <c r="E547" s="55"/>
      <c r="F547" s="55"/>
      <c r="H547" s="56"/>
      <c r="I547" s="99"/>
    </row>
    <row r="548" ht="15.75" customHeight="1">
      <c r="C548" s="54"/>
      <c r="D548" s="55"/>
      <c r="E548" s="55"/>
      <c r="F548" s="55"/>
      <c r="H548" s="56"/>
      <c r="I548" s="99"/>
    </row>
    <row r="549" ht="15.75" customHeight="1">
      <c r="C549" s="54"/>
      <c r="D549" s="55"/>
      <c r="E549" s="55"/>
      <c r="F549" s="55"/>
      <c r="H549" s="56"/>
      <c r="I549" s="99"/>
    </row>
    <row r="550" ht="15.75" customHeight="1">
      <c r="C550" s="54"/>
      <c r="D550" s="55"/>
      <c r="E550" s="55"/>
      <c r="F550" s="55"/>
      <c r="H550" s="56"/>
      <c r="I550" s="99"/>
    </row>
    <row r="551" ht="15.75" customHeight="1">
      <c r="C551" s="54"/>
      <c r="D551" s="55"/>
      <c r="E551" s="55"/>
      <c r="F551" s="55"/>
      <c r="H551" s="56"/>
      <c r="I551" s="99"/>
    </row>
    <row r="552" ht="15.75" customHeight="1">
      <c r="C552" s="54"/>
      <c r="D552" s="55"/>
      <c r="E552" s="55"/>
      <c r="F552" s="55"/>
      <c r="H552" s="56"/>
      <c r="I552" s="99"/>
    </row>
    <row r="553" ht="15.75" customHeight="1">
      <c r="C553" s="54"/>
      <c r="D553" s="55"/>
      <c r="E553" s="55"/>
      <c r="F553" s="55"/>
      <c r="H553" s="56"/>
      <c r="I553" s="99"/>
    </row>
    <row r="554" ht="15.75" customHeight="1">
      <c r="C554" s="54"/>
      <c r="D554" s="55"/>
      <c r="E554" s="55"/>
      <c r="F554" s="55"/>
      <c r="H554" s="56"/>
      <c r="I554" s="99"/>
    </row>
    <row r="555" ht="15.75" customHeight="1">
      <c r="C555" s="54"/>
      <c r="D555" s="55"/>
      <c r="E555" s="55"/>
      <c r="F555" s="55"/>
      <c r="H555" s="56"/>
      <c r="I555" s="99"/>
    </row>
    <row r="556" ht="15.75" customHeight="1">
      <c r="C556" s="54"/>
      <c r="D556" s="55"/>
      <c r="E556" s="55"/>
      <c r="F556" s="55"/>
      <c r="H556" s="56"/>
      <c r="I556" s="99"/>
    </row>
    <row r="557" ht="15.75" customHeight="1">
      <c r="C557" s="54"/>
      <c r="D557" s="55"/>
      <c r="E557" s="55"/>
      <c r="F557" s="55"/>
      <c r="H557" s="56"/>
      <c r="I557" s="99"/>
    </row>
    <row r="558" ht="15.75" customHeight="1">
      <c r="C558" s="54"/>
      <c r="D558" s="55"/>
      <c r="E558" s="55"/>
      <c r="F558" s="55"/>
      <c r="H558" s="56"/>
      <c r="I558" s="99"/>
    </row>
    <row r="559" ht="15.75" customHeight="1">
      <c r="C559" s="54"/>
      <c r="D559" s="55"/>
      <c r="E559" s="55"/>
      <c r="F559" s="55"/>
      <c r="H559" s="56"/>
      <c r="I559" s="99"/>
    </row>
    <row r="560" ht="15.75" customHeight="1">
      <c r="C560" s="54"/>
      <c r="D560" s="55"/>
      <c r="E560" s="55"/>
      <c r="F560" s="55"/>
      <c r="H560" s="56"/>
      <c r="I560" s="99"/>
    </row>
    <row r="561" ht="15.75" customHeight="1">
      <c r="C561" s="54"/>
      <c r="D561" s="55"/>
      <c r="E561" s="55"/>
      <c r="F561" s="55"/>
      <c r="H561" s="56"/>
      <c r="I561" s="99"/>
    </row>
    <row r="562" ht="15.75" customHeight="1">
      <c r="C562" s="54"/>
      <c r="D562" s="55"/>
      <c r="E562" s="55"/>
      <c r="F562" s="55"/>
      <c r="H562" s="56"/>
      <c r="I562" s="99"/>
    </row>
    <row r="563" ht="15.75" customHeight="1">
      <c r="C563" s="54"/>
      <c r="D563" s="55"/>
      <c r="E563" s="55"/>
      <c r="F563" s="55"/>
      <c r="H563" s="56"/>
      <c r="I563" s="99"/>
    </row>
    <row r="564" ht="15.75" customHeight="1">
      <c r="C564" s="54"/>
      <c r="D564" s="55"/>
      <c r="E564" s="55"/>
      <c r="F564" s="55"/>
      <c r="H564" s="56"/>
      <c r="I564" s="99"/>
    </row>
    <row r="565" ht="15.75" customHeight="1">
      <c r="C565" s="54"/>
      <c r="D565" s="55"/>
      <c r="E565" s="55"/>
      <c r="F565" s="55"/>
      <c r="H565" s="56"/>
      <c r="I565" s="99"/>
    </row>
    <row r="566" ht="15.75" customHeight="1">
      <c r="C566" s="54"/>
      <c r="D566" s="55"/>
      <c r="E566" s="55"/>
      <c r="F566" s="55"/>
      <c r="H566" s="56"/>
      <c r="I566" s="99"/>
    </row>
    <row r="567" ht="15.75" customHeight="1">
      <c r="C567" s="54"/>
      <c r="D567" s="55"/>
      <c r="E567" s="55"/>
      <c r="F567" s="55"/>
      <c r="H567" s="56"/>
      <c r="I567" s="99"/>
    </row>
    <row r="568" ht="15.75" customHeight="1">
      <c r="C568" s="54"/>
      <c r="D568" s="55"/>
      <c r="E568" s="55"/>
      <c r="F568" s="55"/>
      <c r="H568" s="56"/>
      <c r="I568" s="99"/>
    </row>
    <row r="569" ht="15.75" customHeight="1">
      <c r="C569" s="54"/>
      <c r="D569" s="55"/>
      <c r="E569" s="55"/>
      <c r="F569" s="55"/>
      <c r="H569" s="56"/>
      <c r="I569" s="99"/>
    </row>
    <row r="570" ht="15.75" customHeight="1">
      <c r="C570" s="54"/>
      <c r="D570" s="55"/>
      <c r="E570" s="55"/>
      <c r="F570" s="55"/>
      <c r="H570" s="56"/>
      <c r="I570" s="99"/>
    </row>
    <row r="571" ht="15.75" customHeight="1">
      <c r="C571" s="54"/>
      <c r="D571" s="55"/>
      <c r="E571" s="55"/>
      <c r="F571" s="55"/>
      <c r="H571" s="56"/>
      <c r="I571" s="99"/>
    </row>
    <row r="572" ht="15.75" customHeight="1">
      <c r="C572" s="54"/>
      <c r="D572" s="55"/>
      <c r="E572" s="55"/>
      <c r="F572" s="55"/>
      <c r="H572" s="56"/>
      <c r="I572" s="99"/>
    </row>
    <row r="573" ht="15.75" customHeight="1">
      <c r="C573" s="54"/>
      <c r="D573" s="55"/>
      <c r="E573" s="55"/>
      <c r="F573" s="55"/>
      <c r="H573" s="56"/>
      <c r="I573" s="99"/>
    </row>
    <row r="574" ht="15.75" customHeight="1">
      <c r="C574" s="54"/>
      <c r="D574" s="55"/>
      <c r="E574" s="55"/>
      <c r="F574" s="55"/>
      <c r="H574" s="56"/>
      <c r="I574" s="99"/>
    </row>
    <row r="575" ht="15.75" customHeight="1">
      <c r="C575" s="54"/>
      <c r="D575" s="55"/>
      <c r="E575" s="55"/>
      <c r="F575" s="55"/>
      <c r="H575" s="56"/>
      <c r="I575" s="99"/>
    </row>
    <row r="576" ht="15.75" customHeight="1">
      <c r="C576" s="54"/>
      <c r="D576" s="55"/>
      <c r="E576" s="55"/>
      <c r="F576" s="55"/>
      <c r="H576" s="56"/>
      <c r="I576" s="99"/>
    </row>
    <row r="577" ht="15.75" customHeight="1">
      <c r="C577" s="54"/>
      <c r="D577" s="55"/>
      <c r="E577" s="55"/>
      <c r="F577" s="55"/>
      <c r="H577" s="56"/>
      <c r="I577" s="99"/>
    </row>
    <row r="578" ht="15.75" customHeight="1">
      <c r="C578" s="54"/>
      <c r="D578" s="55"/>
      <c r="E578" s="55"/>
      <c r="F578" s="55"/>
      <c r="H578" s="56"/>
      <c r="I578" s="99"/>
    </row>
    <row r="579" ht="15.75" customHeight="1">
      <c r="C579" s="54"/>
      <c r="D579" s="55"/>
      <c r="E579" s="55"/>
      <c r="F579" s="55"/>
      <c r="H579" s="56"/>
      <c r="I579" s="99"/>
    </row>
    <row r="580" ht="15.75" customHeight="1">
      <c r="C580" s="54"/>
      <c r="D580" s="55"/>
      <c r="E580" s="55"/>
      <c r="F580" s="55"/>
      <c r="H580" s="56"/>
      <c r="I580" s="99"/>
    </row>
    <row r="581" ht="15.75" customHeight="1">
      <c r="C581" s="54"/>
      <c r="D581" s="55"/>
      <c r="E581" s="55"/>
      <c r="F581" s="55"/>
      <c r="H581" s="56"/>
      <c r="I581" s="99"/>
    </row>
    <row r="582" ht="15.75" customHeight="1">
      <c r="C582" s="54"/>
      <c r="D582" s="55"/>
      <c r="E582" s="55"/>
      <c r="F582" s="55"/>
      <c r="H582" s="56"/>
      <c r="I582" s="99"/>
    </row>
    <row r="583" ht="15.75" customHeight="1">
      <c r="C583" s="54"/>
      <c r="D583" s="55"/>
      <c r="E583" s="55"/>
      <c r="F583" s="55"/>
      <c r="H583" s="56"/>
      <c r="I583" s="99"/>
    </row>
    <row r="584" ht="15.75" customHeight="1">
      <c r="C584" s="54"/>
      <c r="D584" s="55"/>
      <c r="E584" s="55"/>
      <c r="F584" s="55"/>
      <c r="H584" s="56"/>
      <c r="I584" s="99"/>
    </row>
    <row r="585" ht="15.75" customHeight="1">
      <c r="C585" s="54"/>
      <c r="D585" s="55"/>
      <c r="E585" s="55"/>
      <c r="F585" s="55"/>
      <c r="H585" s="56"/>
      <c r="I585" s="99"/>
    </row>
    <row r="586" ht="15.75" customHeight="1">
      <c r="C586" s="54"/>
      <c r="D586" s="55"/>
      <c r="E586" s="55"/>
      <c r="F586" s="55"/>
      <c r="H586" s="56"/>
      <c r="I586" s="99"/>
    </row>
    <row r="587" ht="15.75" customHeight="1">
      <c r="C587" s="54"/>
      <c r="D587" s="55"/>
      <c r="E587" s="55"/>
      <c r="F587" s="55"/>
      <c r="H587" s="56"/>
      <c r="I587" s="99"/>
    </row>
    <row r="588" ht="15.75" customHeight="1">
      <c r="C588" s="54"/>
      <c r="D588" s="55"/>
      <c r="E588" s="55"/>
      <c r="F588" s="55"/>
      <c r="H588" s="56"/>
      <c r="I588" s="99"/>
    </row>
    <row r="589" ht="15.75" customHeight="1">
      <c r="C589" s="54"/>
      <c r="D589" s="55"/>
      <c r="E589" s="55"/>
      <c r="F589" s="55"/>
      <c r="H589" s="56"/>
      <c r="I589" s="99"/>
    </row>
    <row r="590" ht="15.75" customHeight="1">
      <c r="C590" s="54"/>
      <c r="D590" s="55"/>
      <c r="E590" s="55"/>
      <c r="F590" s="55"/>
      <c r="H590" s="56"/>
      <c r="I590" s="99"/>
    </row>
    <row r="591" ht="15.75" customHeight="1">
      <c r="C591" s="54"/>
      <c r="D591" s="55"/>
      <c r="E591" s="55"/>
      <c r="F591" s="55"/>
      <c r="H591" s="56"/>
      <c r="I591" s="99"/>
    </row>
    <row r="592" ht="15.75" customHeight="1">
      <c r="C592" s="54"/>
      <c r="D592" s="55"/>
      <c r="E592" s="55"/>
      <c r="F592" s="55"/>
      <c r="H592" s="56"/>
      <c r="I592" s="99"/>
    </row>
    <row r="593" ht="15.75" customHeight="1">
      <c r="C593" s="54"/>
      <c r="D593" s="55"/>
      <c r="E593" s="55"/>
      <c r="F593" s="55"/>
      <c r="H593" s="56"/>
      <c r="I593" s="99"/>
    </row>
    <row r="594" ht="15.75" customHeight="1">
      <c r="C594" s="54"/>
      <c r="D594" s="55"/>
      <c r="E594" s="55"/>
      <c r="F594" s="55"/>
      <c r="H594" s="56"/>
      <c r="I594" s="99"/>
    </row>
    <row r="595" ht="15.75" customHeight="1">
      <c r="C595" s="54"/>
      <c r="D595" s="55"/>
      <c r="E595" s="55"/>
      <c r="F595" s="55"/>
      <c r="H595" s="56"/>
      <c r="I595" s="99"/>
    </row>
    <row r="596" ht="15.75" customHeight="1">
      <c r="C596" s="54"/>
      <c r="D596" s="55"/>
      <c r="E596" s="55"/>
      <c r="F596" s="55"/>
      <c r="H596" s="56"/>
      <c r="I596" s="99"/>
    </row>
    <row r="597" ht="15.75" customHeight="1">
      <c r="C597" s="54"/>
      <c r="D597" s="55"/>
      <c r="E597" s="55"/>
      <c r="F597" s="55"/>
      <c r="H597" s="56"/>
      <c r="I597" s="99"/>
    </row>
    <row r="598" ht="15.75" customHeight="1">
      <c r="C598" s="54"/>
      <c r="D598" s="55"/>
      <c r="E598" s="55"/>
      <c r="F598" s="55"/>
      <c r="H598" s="56"/>
      <c r="I598" s="99"/>
    </row>
    <row r="599" ht="15.75" customHeight="1">
      <c r="C599" s="54"/>
      <c r="D599" s="55"/>
      <c r="E599" s="55"/>
      <c r="F599" s="55"/>
      <c r="H599" s="56"/>
      <c r="I599" s="99"/>
    </row>
    <row r="600" ht="15.75" customHeight="1">
      <c r="C600" s="54"/>
      <c r="D600" s="55"/>
      <c r="E600" s="55"/>
      <c r="F600" s="55"/>
      <c r="H600" s="56"/>
      <c r="I600" s="99"/>
    </row>
    <row r="601" ht="15.75" customHeight="1">
      <c r="C601" s="54"/>
      <c r="D601" s="55"/>
      <c r="E601" s="55"/>
      <c r="F601" s="55"/>
      <c r="H601" s="56"/>
      <c r="I601" s="99"/>
    </row>
    <row r="602" ht="15.75" customHeight="1">
      <c r="C602" s="54"/>
      <c r="D602" s="55"/>
      <c r="E602" s="55"/>
      <c r="F602" s="55"/>
      <c r="H602" s="56"/>
      <c r="I602" s="99"/>
    </row>
    <row r="603" ht="15.75" customHeight="1">
      <c r="C603" s="54"/>
      <c r="D603" s="55"/>
      <c r="E603" s="55"/>
      <c r="F603" s="55"/>
      <c r="H603" s="56"/>
      <c r="I603" s="99"/>
    </row>
    <row r="604" ht="15.75" customHeight="1">
      <c r="C604" s="54"/>
      <c r="D604" s="55"/>
      <c r="E604" s="55"/>
      <c r="F604" s="55"/>
      <c r="H604" s="56"/>
      <c r="I604" s="99"/>
    </row>
    <row r="605" ht="15.75" customHeight="1">
      <c r="C605" s="54"/>
      <c r="D605" s="55"/>
      <c r="E605" s="55"/>
      <c r="F605" s="55"/>
      <c r="H605" s="56"/>
      <c r="I605" s="99"/>
    </row>
    <row r="606" ht="15.75" customHeight="1">
      <c r="C606" s="54"/>
      <c r="D606" s="55"/>
      <c r="E606" s="55"/>
      <c r="F606" s="55"/>
      <c r="H606" s="56"/>
      <c r="I606" s="99"/>
    </row>
    <row r="607" ht="15.75" customHeight="1">
      <c r="C607" s="54"/>
      <c r="D607" s="55"/>
      <c r="E607" s="55"/>
      <c r="F607" s="55"/>
      <c r="H607" s="56"/>
      <c r="I607" s="99"/>
    </row>
    <row r="608" ht="15.75" customHeight="1">
      <c r="C608" s="54"/>
      <c r="D608" s="55"/>
      <c r="E608" s="55"/>
      <c r="F608" s="55"/>
      <c r="H608" s="56"/>
      <c r="I608" s="99"/>
    </row>
    <row r="609" ht="15.75" customHeight="1">
      <c r="C609" s="54"/>
      <c r="D609" s="55"/>
      <c r="E609" s="55"/>
      <c r="F609" s="55"/>
      <c r="H609" s="56"/>
      <c r="I609" s="99"/>
    </row>
    <row r="610" ht="15.75" customHeight="1">
      <c r="C610" s="54"/>
      <c r="D610" s="55"/>
      <c r="E610" s="55"/>
      <c r="F610" s="55"/>
      <c r="H610" s="56"/>
      <c r="I610" s="99"/>
    </row>
    <row r="611" ht="15.75" customHeight="1">
      <c r="C611" s="54"/>
      <c r="D611" s="55"/>
      <c r="E611" s="55"/>
      <c r="F611" s="55"/>
      <c r="H611" s="56"/>
      <c r="I611" s="99"/>
    </row>
    <row r="612" ht="15.75" customHeight="1">
      <c r="C612" s="54"/>
      <c r="D612" s="55"/>
      <c r="E612" s="55"/>
      <c r="F612" s="55"/>
      <c r="H612" s="56"/>
      <c r="I612" s="99"/>
    </row>
    <row r="613" ht="15.75" customHeight="1">
      <c r="C613" s="54"/>
      <c r="D613" s="55"/>
      <c r="E613" s="55"/>
      <c r="F613" s="55"/>
      <c r="H613" s="56"/>
      <c r="I613" s="99"/>
    </row>
    <row r="614" ht="15.75" customHeight="1">
      <c r="C614" s="54"/>
      <c r="D614" s="55"/>
      <c r="E614" s="55"/>
      <c r="F614" s="55"/>
      <c r="H614" s="56"/>
      <c r="I614" s="99"/>
    </row>
    <row r="615" ht="15.75" customHeight="1">
      <c r="C615" s="54"/>
      <c r="D615" s="55"/>
      <c r="E615" s="55"/>
      <c r="F615" s="55"/>
      <c r="H615" s="56"/>
      <c r="I615" s="99"/>
    </row>
    <row r="616" ht="15.75" customHeight="1">
      <c r="C616" s="54"/>
      <c r="D616" s="55"/>
      <c r="E616" s="55"/>
      <c r="F616" s="55"/>
      <c r="H616" s="56"/>
      <c r="I616" s="99"/>
    </row>
    <row r="617" ht="15.75" customHeight="1">
      <c r="C617" s="54"/>
      <c r="D617" s="55"/>
      <c r="E617" s="55"/>
      <c r="F617" s="55"/>
      <c r="H617" s="56"/>
      <c r="I617" s="99"/>
    </row>
    <row r="618" ht="15.75" customHeight="1">
      <c r="C618" s="54"/>
      <c r="D618" s="55"/>
      <c r="E618" s="55"/>
      <c r="F618" s="55"/>
      <c r="H618" s="56"/>
      <c r="I618" s="99"/>
    </row>
    <row r="619" ht="15.75" customHeight="1">
      <c r="C619" s="54"/>
      <c r="D619" s="55"/>
      <c r="E619" s="55"/>
      <c r="F619" s="55"/>
      <c r="H619" s="56"/>
      <c r="I619" s="99"/>
    </row>
    <row r="620" ht="15.75" customHeight="1">
      <c r="C620" s="54"/>
      <c r="D620" s="55"/>
      <c r="E620" s="55"/>
      <c r="F620" s="55"/>
      <c r="H620" s="56"/>
      <c r="I620" s="99"/>
    </row>
    <row r="621" ht="15.75" customHeight="1">
      <c r="C621" s="54"/>
      <c r="D621" s="55"/>
      <c r="E621" s="55"/>
      <c r="F621" s="55"/>
      <c r="H621" s="56"/>
      <c r="I621" s="99"/>
    </row>
    <row r="622" ht="15.75" customHeight="1">
      <c r="C622" s="54"/>
      <c r="D622" s="55"/>
      <c r="E622" s="55"/>
      <c r="F622" s="55"/>
      <c r="H622" s="56"/>
      <c r="I622" s="99"/>
    </row>
    <row r="623" ht="15.75" customHeight="1">
      <c r="C623" s="54"/>
      <c r="D623" s="55"/>
      <c r="E623" s="55"/>
      <c r="F623" s="55"/>
      <c r="H623" s="56"/>
      <c r="I623" s="99"/>
    </row>
    <row r="624" ht="15.75" customHeight="1">
      <c r="C624" s="54"/>
      <c r="D624" s="55"/>
      <c r="E624" s="55"/>
      <c r="F624" s="55"/>
      <c r="H624" s="56"/>
      <c r="I624" s="99"/>
    </row>
    <row r="625" ht="15.75" customHeight="1">
      <c r="C625" s="54"/>
      <c r="D625" s="55"/>
      <c r="E625" s="55"/>
      <c r="F625" s="55"/>
      <c r="H625" s="56"/>
      <c r="I625" s="99"/>
    </row>
    <row r="626" ht="15.75" customHeight="1">
      <c r="C626" s="54"/>
      <c r="D626" s="55"/>
      <c r="E626" s="55"/>
      <c r="F626" s="55"/>
      <c r="H626" s="56"/>
      <c r="I626" s="99"/>
    </row>
    <row r="627" ht="15.75" customHeight="1">
      <c r="C627" s="54"/>
      <c r="D627" s="55"/>
      <c r="E627" s="55"/>
      <c r="F627" s="55"/>
      <c r="H627" s="56"/>
      <c r="I627" s="99"/>
    </row>
    <row r="628" ht="15.75" customHeight="1">
      <c r="C628" s="54"/>
      <c r="D628" s="55"/>
      <c r="E628" s="55"/>
      <c r="F628" s="55"/>
      <c r="H628" s="56"/>
      <c r="I628" s="99"/>
    </row>
    <row r="629" ht="15.75" customHeight="1">
      <c r="C629" s="54"/>
      <c r="D629" s="55"/>
      <c r="E629" s="55"/>
      <c r="F629" s="55"/>
      <c r="H629" s="56"/>
      <c r="I629" s="99"/>
    </row>
    <row r="630" ht="15.75" customHeight="1">
      <c r="C630" s="54"/>
      <c r="D630" s="55"/>
      <c r="E630" s="55"/>
      <c r="F630" s="55"/>
      <c r="H630" s="56"/>
      <c r="I630" s="99"/>
    </row>
    <row r="631" ht="15.75" customHeight="1">
      <c r="C631" s="54"/>
      <c r="D631" s="55"/>
      <c r="E631" s="55"/>
      <c r="F631" s="55"/>
      <c r="H631" s="56"/>
      <c r="I631" s="99"/>
    </row>
    <row r="632" ht="15.75" customHeight="1">
      <c r="C632" s="54"/>
      <c r="D632" s="55"/>
      <c r="E632" s="55"/>
      <c r="F632" s="55"/>
      <c r="H632" s="56"/>
      <c r="I632" s="99"/>
    </row>
    <row r="633" ht="15.75" customHeight="1">
      <c r="C633" s="54"/>
      <c r="D633" s="55"/>
      <c r="E633" s="55"/>
      <c r="F633" s="55"/>
      <c r="H633" s="56"/>
      <c r="I633" s="99"/>
    </row>
    <row r="634" ht="15.75" customHeight="1">
      <c r="C634" s="54"/>
      <c r="D634" s="55"/>
      <c r="E634" s="55"/>
      <c r="F634" s="55"/>
      <c r="H634" s="56"/>
      <c r="I634" s="99"/>
    </row>
    <row r="635" ht="15.75" customHeight="1">
      <c r="C635" s="54"/>
      <c r="D635" s="55"/>
      <c r="E635" s="55"/>
      <c r="F635" s="55"/>
      <c r="H635" s="56"/>
      <c r="I635" s="99"/>
    </row>
    <row r="636" ht="15.75" customHeight="1">
      <c r="C636" s="54"/>
      <c r="D636" s="55"/>
      <c r="E636" s="55"/>
      <c r="F636" s="55"/>
      <c r="H636" s="56"/>
      <c r="I636" s="99"/>
    </row>
    <row r="637" ht="15.75" customHeight="1">
      <c r="C637" s="54"/>
      <c r="D637" s="55"/>
      <c r="E637" s="55"/>
      <c r="F637" s="55"/>
      <c r="H637" s="56"/>
      <c r="I637" s="99"/>
    </row>
    <row r="638" ht="15.75" customHeight="1">
      <c r="C638" s="54"/>
      <c r="D638" s="55"/>
      <c r="E638" s="55"/>
      <c r="F638" s="55"/>
      <c r="H638" s="56"/>
      <c r="I638" s="99"/>
    </row>
    <row r="639" ht="15.75" customHeight="1">
      <c r="C639" s="54"/>
      <c r="D639" s="55"/>
      <c r="E639" s="55"/>
      <c r="F639" s="55"/>
      <c r="H639" s="56"/>
      <c r="I639" s="99"/>
    </row>
    <row r="640" ht="15.75" customHeight="1">
      <c r="C640" s="54"/>
      <c r="D640" s="55"/>
      <c r="E640" s="55"/>
      <c r="F640" s="55"/>
      <c r="H640" s="56"/>
      <c r="I640" s="99"/>
    </row>
    <row r="641" ht="15.75" customHeight="1">
      <c r="C641" s="54"/>
      <c r="D641" s="55"/>
      <c r="E641" s="55"/>
      <c r="F641" s="55"/>
      <c r="H641" s="56"/>
      <c r="I641" s="99"/>
    </row>
    <row r="642" ht="15.75" customHeight="1">
      <c r="C642" s="54"/>
      <c r="D642" s="55"/>
      <c r="E642" s="55"/>
      <c r="F642" s="55"/>
      <c r="H642" s="56"/>
      <c r="I642" s="99"/>
    </row>
    <row r="643" ht="15.75" customHeight="1">
      <c r="C643" s="54"/>
      <c r="D643" s="55"/>
      <c r="E643" s="55"/>
      <c r="F643" s="55"/>
      <c r="H643" s="56"/>
      <c r="I643" s="99"/>
    </row>
    <row r="644" ht="15.75" customHeight="1">
      <c r="C644" s="54"/>
      <c r="D644" s="55"/>
      <c r="E644" s="55"/>
      <c r="F644" s="55"/>
      <c r="H644" s="56"/>
      <c r="I644" s="99"/>
    </row>
    <row r="645" ht="15.75" customHeight="1">
      <c r="C645" s="54"/>
      <c r="D645" s="55"/>
      <c r="E645" s="55"/>
      <c r="F645" s="55"/>
      <c r="H645" s="56"/>
      <c r="I645" s="99"/>
    </row>
    <row r="646" ht="15.75" customHeight="1">
      <c r="C646" s="54"/>
      <c r="D646" s="55"/>
      <c r="E646" s="55"/>
      <c r="F646" s="55"/>
      <c r="H646" s="56"/>
      <c r="I646" s="99"/>
    </row>
    <row r="647" ht="15.75" customHeight="1">
      <c r="C647" s="54"/>
      <c r="D647" s="55"/>
      <c r="E647" s="55"/>
      <c r="F647" s="55"/>
      <c r="H647" s="56"/>
      <c r="I647" s="99"/>
    </row>
    <row r="648" ht="15.75" customHeight="1">
      <c r="C648" s="54"/>
      <c r="D648" s="55"/>
      <c r="E648" s="55"/>
      <c r="F648" s="55"/>
      <c r="H648" s="56"/>
      <c r="I648" s="99"/>
    </row>
    <row r="649" ht="15.75" customHeight="1">
      <c r="C649" s="54"/>
      <c r="D649" s="55"/>
      <c r="E649" s="55"/>
      <c r="F649" s="55"/>
      <c r="H649" s="56"/>
      <c r="I649" s="99"/>
    </row>
    <row r="650" ht="15.75" customHeight="1">
      <c r="C650" s="54"/>
      <c r="D650" s="55"/>
      <c r="E650" s="55"/>
      <c r="F650" s="55"/>
      <c r="H650" s="56"/>
      <c r="I650" s="99"/>
    </row>
    <row r="651" ht="15.75" customHeight="1">
      <c r="C651" s="54"/>
      <c r="D651" s="55"/>
      <c r="E651" s="55"/>
      <c r="F651" s="55"/>
      <c r="H651" s="56"/>
      <c r="I651" s="99"/>
    </row>
    <row r="652" ht="15.75" customHeight="1">
      <c r="C652" s="54"/>
      <c r="D652" s="55"/>
      <c r="E652" s="55"/>
      <c r="F652" s="55"/>
      <c r="H652" s="56"/>
      <c r="I652" s="99"/>
    </row>
    <row r="653" ht="15.75" customHeight="1">
      <c r="C653" s="54"/>
      <c r="D653" s="55"/>
      <c r="E653" s="55"/>
      <c r="F653" s="55"/>
      <c r="H653" s="56"/>
      <c r="I653" s="99"/>
    </row>
    <row r="654" ht="15.75" customHeight="1">
      <c r="C654" s="54"/>
      <c r="D654" s="55"/>
      <c r="E654" s="55"/>
      <c r="F654" s="55"/>
      <c r="H654" s="56"/>
      <c r="I654" s="99"/>
    </row>
    <row r="655" ht="15.75" customHeight="1">
      <c r="C655" s="54"/>
      <c r="D655" s="55"/>
      <c r="E655" s="55"/>
      <c r="F655" s="55"/>
      <c r="H655" s="56"/>
      <c r="I655" s="99"/>
    </row>
    <row r="656" ht="15.75" customHeight="1">
      <c r="C656" s="54"/>
      <c r="D656" s="55"/>
      <c r="E656" s="55"/>
      <c r="F656" s="55"/>
      <c r="H656" s="56"/>
      <c r="I656" s="99"/>
    </row>
    <row r="657" ht="15.75" customHeight="1">
      <c r="C657" s="54"/>
      <c r="D657" s="55"/>
      <c r="E657" s="55"/>
      <c r="F657" s="55"/>
      <c r="H657" s="56"/>
      <c r="I657" s="99"/>
    </row>
    <row r="658" ht="15.75" customHeight="1">
      <c r="C658" s="54"/>
      <c r="D658" s="55"/>
      <c r="E658" s="55"/>
      <c r="F658" s="55"/>
      <c r="H658" s="56"/>
      <c r="I658" s="99"/>
    </row>
    <row r="659" ht="15.75" customHeight="1">
      <c r="C659" s="54"/>
      <c r="D659" s="55"/>
      <c r="E659" s="55"/>
      <c r="F659" s="55"/>
      <c r="H659" s="56"/>
      <c r="I659" s="99"/>
    </row>
    <row r="660" ht="15.75" customHeight="1">
      <c r="C660" s="54"/>
      <c r="D660" s="55"/>
      <c r="E660" s="55"/>
      <c r="F660" s="55"/>
      <c r="H660" s="56"/>
      <c r="I660" s="99"/>
    </row>
    <row r="661" ht="15.75" customHeight="1">
      <c r="C661" s="54"/>
      <c r="D661" s="55"/>
      <c r="E661" s="55"/>
      <c r="F661" s="55"/>
      <c r="H661" s="56"/>
      <c r="I661" s="99"/>
    </row>
    <row r="662" ht="15.75" customHeight="1">
      <c r="C662" s="54"/>
      <c r="D662" s="55"/>
      <c r="E662" s="55"/>
      <c r="F662" s="55"/>
      <c r="H662" s="56"/>
      <c r="I662" s="99"/>
    </row>
    <row r="663" ht="15.75" customHeight="1">
      <c r="C663" s="54"/>
      <c r="D663" s="55"/>
      <c r="E663" s="55"/>
      <c r="F663" s="55"/>
      <c r="H663" s="56"/>
      <c r="I663" s="99"/>
    </row>
    <row r="664" ht="15.75" customHeight="1">
      <c r="C664" s="54"/>
      <c r="D664" s="55"/>
      <c r="E664" s="55"/>
      <c r="F664" s="55"/>
      <c r="H664" s="56"/>
      <c r="I664" s="99"/>
    </row>
    <row r="665" ht="15.75" customHeight="1">
      <c r="C665" s="54"/>
      <c r="D665" s="55"/>
      <c r="E665" s="55"/>
      <c r="F665" s="55"/>
      <c r="H665" s="56"/>
      <c r="I665" s="99"/>
    </row>
    <row r="666" ht="15.75" customHeight="1">
      <c r="C666" s="54"/>
      <c r="D666" s="55"/>
      <c r="E666" s="55"/>
      <c r="F666" s="55"/>
      <c r="H666" s="56"/>
      <c r="I666" s="99"/>
    </row>
    <row r="667" ht="15.75" customHeight="1">
      <c r="C667" s="54"/>
      <c r="D667" s="55"/>
      <c r="E667" s="55"/>
      <c r="F667" s="55"/>
      <c r="H667" s="56"/>
      <c r="I667" s="99"/>
    </row>
    <row r="668" ht="15.75" customHeight="1">
      <c r="C668" s="54"/>
      <c r="D668" s="55"/>
      <c r="E668" s="55"/>
      <c r="F668" s="55"/>
      <c r="H668" s="56"/>
      <c r="I668" s="99"/>
    </row>
    <row r="669" ht="15.75" customHeight="1">
      <c r="C669" s="54"/>
      <c r="D669" s="55"/>
      <c r="E669" s="55"/>
      <c r="F669" s="55"/>
      <c r="H669" s="56"/>
      <c r="I669" s="99"/>
    </row>
    <row r="670" ht="15.75" customHeight="1">
      <c r="C670" s="54"/>
      <c r="D670" s="55"/>
      <c r="E670" s="55"/>
      <c r="F670" s="55"/>
      <c r="H670" s="56"/>
      <c r="I670" s="99"/>
    </row>
    <row r="671" ht="15.75" customHeight="1">
      <c r="C671" s="54"/>
      <c r="D671" s="55"/>
      <c r="E671" s="55"/>
      <c r="F671" s="55"/>
      <c r="H671" s="56"/>
      <c r="I671" s="99"/>
    </row>
    <row r="672" ht="15.75" customHeight="1">
      <c r="C672" s="54"/>
      <c r="D672" s="55"/>
      <c r="E672" s="55"/>
      <c r="F672" s="55"/>
      <c r="H672" s="56"/>
      <c r="I672" s="99"/>
    </row>
    <row r="673" ht="15.75" customHeight="1">
      <c r="C673" s="54"/>
      <c r="D673" s="55"/>
      <c r="E673" s="55"/>
      <c r="F673" s="55"/>
      <c r="H673" s="56"/>
      <c r="I673" s="99"/>
    </row>
    <row r="674" ht="15.75" customHeight="1">
      <c r="C674" s="54"/>
      <c r="D674" s="55"/>
      <c r="E674" s="55"/>
      <c r="F674" s="55"/>
      <c r="H674" s="56"/>
      <c r="I674" s="99"/>
    </row>
    <row r="675" ht="15.75" customHeight="1">
      <c r="C675" s="54"/>
      <c r="D675" s="55"/>
      <c r="E675" s="55"/>
      <c r="F675" s="55"/>
      <c r="H675" s="56"/>
      <c r="I675" s="99"/>
    </row>
    <row r="676" ht="15.75" customHeight="1">
      <c r="C676" s="54"/>
      <c r="D676" s="55"/>
      <c r="E676" s="55"/>
      <c r="F676" s="55"/>
      <c r="H676" s="56"/>
      <c r="I676" s="99"/>
    </row>
    <row r="677" ht="15.75" customHeight="1">
      <c r="C677" s="54"/>
      <c r="D677" s="55"/>
      <c r="E677" s="55"/>
      <c r="F677" s="55"/>
      <c r="H677" s="56"/>
      <c r="I677" s="99"/>
    </row>
    <row r="678" ht="15.75" customHeight="1">
      <c r="C678" s="54"/>
      <c r="D678" s="55"/>
      <c r="E678" s="55"/>
      <c r="F678" s="55"/>
      <c r="H678" s="56"/>
      <c r="I678" s="99"/>
    </row>
    <row r="679" ht="15.75" customHeight="1">
      <c r="C679" s="54"/>
      <c r="D679" s="55"/>
      <c r="E679" s="55"/>
      <c r="F679" s="55"/>
      <c r="H679" s="56"/>
      <c r="I679" s="99"/>
    </row>
    <row r="680" ht="15.75" customHeight="1">
      <c r="C680" s="54"/>
      <c r="D680" s="55"/>
      <c r="E680" s="55"/>
      <c r="F680" s="55"/>
      <c r="H680" s="56"/>
      <c r="I680" s="99"/>
    </row>
    <row r="681" ht="15.75" customHeight="1">
      <c r="C681" s="54"/>
      <c r="D681" s="55"/>
      <c r="E681" s="55"/>
      <c r="F681" s="55"/>
      <c r="H681" s="56"/>
      <c r="I681" s="99"/>
    </row>
    <row r="682" ht="15.75" customHeight="1">
      <c r="C682" s="54"/>
      <c r="D682" s="55"/>
      <c r="E682" s="55"/>
      <c r="F682" s="55"/>
      <c r="H682" s="56"/>
      <c r="I682" s="99"/>
    </row>
    <row r="683" ht="15.75" customHeight="1">
      <c r="C683" s="54"/>
      <c r="D683" s="55"/>
      <c r="E683" s="55"/>
      <c r="F683" s="55"/>
      <c r="H683" s="56"/>
      <c r="I683" s="99"/>
    </row>
    <row r="684" ht="15.75" customHeight="1">
      <c r="C684" s="54"/>
      <c r="D684" s="55"/>
      <c r="E684" s="55"/>
      <c r="F684" s="55"/>
      <c r="H684" s="56"/>
      <c r="I684" s="99"/>
    </row>
    <row r="685" ht="15.75" customHeight="1">
      <c r="C685" s="54"/>
      <c r="D685" s="55"/>
      <c r="E685" s="55"/>
      <c r="F685" s="55"/>
      <c r="H685" s="56"/>
      <c r="I685" s="99"/>
    </row>
    <row r="686" ht="15.75" customHeight="1">
      <c r="C686" s="54"/>
      <c r="D686" s="55"/>
      <c r="E686" s="55"/>
      <c r="F686" s="55"/>
      <c r="H686" s="56"/>
      <c r="I686" s="99"/>
    </row>
    <row r="687" ht="15.75" customHeight="1">
      <c r="C687" s="54"/>
      <c r="D687" s="55"/>
      <c r="E687" s="55"/>
      <c r="F687" s="55"/>
      <c r="H687" s="56"/>
      <c r="I687" s="99"/>
    </row>
    <row r="688" ht="15.75" customHeight="1">
      <c r="C688" s="54"/>
      <c r="D688" s="55"/>
      <c r="E688" s="55"/>
      <c r="F688" s="55"/>
      <c r="H688" s="56"/>
      <c r="I688" s="99"/>
    </row>
    <row r="689" ht="15.75" customHeight="1">
      <c r="C689" s="54"/>
      <c r="D689" s="55"/>
      <c r="E689" s="55"/>
      <c r="F689" s="55"/>
      <c r="H689" s="56"/>
      <c r="I689" s="99"/>
    </row>
    <row r="690" ht="15.75" customHeight="1">
      <c r="C690" s="54"/>
      <c r="D690" s="55"/>
      <c r="E690" s="55"/>
      <c r="F690" s="55"/>
      <c r="H690" s="56"/>
      <c r="I690" s="99"/>
    </row>
    <row r="691" ht="15.75" customHeight="1">
      <c r="C691" s="54"/>
      <c r="D691" s="55"/>
      <c r="E691" s="55"/>
      <c r="F691" s="55"/>
      <c r="H691" s="56"/>
      <c r="I691" s="99"/>
    </row>
    <row r="692" ht="15.75" customHeight="1">
      <c r="C692" s="54"/>
      <c r="D692" s="55"/>
      <c r="E692" s="55"/>
      <c r="F692" s="55"/>
      <c r="H692" s="56"/>
      <c r="I692" s="99"/>
    </row>
    <row r="693" ht="15.75" customHeight="1">
      <c r="C693" s="54"/>
      <c r="D693" s="55"/>
      <c r="E693" s="55"/>
      <c r="F693" s="55"/>
      <c r="H693" s="56"/>
      <c r="I693" s="99"/>
    </row>
    <row r="694" ht="15.75" customHeight="1">
      <c r="C694" s="54"/>
      <c r="D694" s="55"/>
      <c r="E694" s="55"/>
      <c r="F694" s="55"/>
      <c r="H694" s="56"/>
      <c r="I694" s="99"/>
    </row>
    <row r="695" ht="15.75" customHeight="1">
      <c r="C695" s="54"/>
      <c r="D695" s="55"/>
      <c r="E695" s="55"/>
      <c r="F695" s="55"/>
      <c r="H695" s="56"/>
      <c r="I695" s="99"/>
    </row>
    <row r="696" ht="15.75" customHeight="1">
      <c r="C696" s="54"/>
      <c r="D696" s="55"/>
      <c r="E696" s="55"/>
      <c r="F696" s="55"/>
      <c r="H696" s="56"/>
      <c r="I696" s="99"/>
    </row>
    <row r="697" ht="15.75" customHeight="1">
      <c r="C697" s="54"/>
      <c r="D697" s="55"/>
      <c r="E697" s="55"/>
      <c r="F697" s="55"/>
      <c r="H697" s="56"/>
      <c r="I697" s="99"/>
    </row>
    <row r="698" ht="15.75" customHeight="1">
      <c r="C698" s="54"/>
      <c r="D698" s="55"/>
      <c r="E698" s="55"/>
      <c r="F698" s="55"/>
      <c r="H698" s="56"/>
      <c r="I698" s="99"/>
    </row>
    <row r="699" ht="15.75" customHeight="1">
      <c r="C699" s="54"/>
      <c r="D699" s="55"/>
      <c r="E699" s="55"/>
      <c r="F699" s="55"/>
      <c r="H699" s="56"/>
      <c r="I699" s="99"/>
    </row>
    <row r="700" ht="15.75" customHeight="1">
      <c r="C700" s="54"/>
      <c r="D700" s="55"/>
      <c r="E700" s="55"/>
      <c r="F700" s="55"/>
      <c r="H700" s="56"/>
      <c r="I700" s="99"/>
    </row>
    <row r="701" ht="15.75" customHeight="1">
      <c r="C701" s="54"/>
      <c r="D701" s="55"/>
      <c r="E701" s="55"/>
      <c r="F701" s="55"/>
      <c r="H701" s="56"/>
      <c r="I701" s="99"/>
    </row>
    <row r="702" ht="15.75" customHeight="1">
      <c r="C702" s="54"/>
      <c r="D702" s="55"/>
      <c r="E702" s="55"/>
      <c r="F702" s="55"/>
      <c r="H702" s="56"/>
      <c r="I702" s="99"/>
    </row>
    <row r="703" ht="15.75" customHeight="1">
      <c r="C703" s="54"/>
      <c r="D703" s="55"/>
      <c r="E703" s="55"/>
      <c r="F703" s="55"/>
      <c r="H703" s="56"/>
      <c r="I703" s="99"/>
    </row>
    <row r="704" ht="15.75" customHeight="1">
      <c r="C704" s="54"/>
      <c r="D704" s="55"/>
      <c r="E704" s="55"/>
      <c r="F704" s="55"/>
      <c r="H704" s="56"/>
      <c r="I704" s="99"/>
    </row>
    <row r="705" ht="15.75" customHeight="1">
      <c r="C705" s="54"/>
      <c r="D705" s="55"/>
      <c r="E705" s="55"/>
      <c r="F705" s="55"/>
      <c r="H705" s="56"/>
      <c r="I705" s="99"/>
    </row>
    <row r="706" ht="15.75" customHeight="1">
      <c r="C706" s="54"/>
      <c r="D706" s="55"/>
      <c r="E706" s="55"/>
      <c r="F706" s="55"/>
      <c r="H706" s="56"/>
      <c r="I706" s="99"/>
    </row>
    <row r="707" ht="15.75" customHeight="1">
      <c r="C707" s="54"/>
      <c r="D707" s="55"/>
      <c r="E707" s="55"/>
      <c r="F707" s="55"/>
      <c r="H707" s="56"/>
      <c r="I707" s="99"/>
    </row>
    <row r="708" ht="15.75" customHeight="1">
      <c r="C708" s="54"/>
      <c r="D708" s="55"/>
      <c r="E708" s="55"/>
      <c r="F708" s="55"/>
      <c r="H708" s="56"/>
      <c r="I708" s="99"/>
    </row>
    <row r="709" ht="15.75" customHeight="1">
      <c r="C709" s="54"/>
      <c r="D709" s="55"/>
      <c r="E709" s="55"/>
      <c r="F709" s="55"/>
      <c r="H709" s="56"/>
      <c r="I709" s="99"/>
    </row>
    <row r="710" ht="15.75" customHeight="1">
      <c r="C710" s="54"/>
      <c r="D710" s="55"/>
      <c r="E710" s="55"/>
      <c r="F710" s="55"/>
      <c r="H710" s="56"/>
      <c r="I710" s="99"/>
    </row>
    <row r="711" ht="15.75" customHeight="1">
      <c r="C711" s="54"/>
      <c r="D711" s="55"/>
      <c r="E711" s="55"/>
      <c r="F711" s="55"/>
      <c r="H711" s="56"/>
      <c r="I711" s="99"/>
    </row>
    <row r="712" ht="15.75" customHeight="1">
      <c r="C712" s="54"/>
      <c r="D712" s="55"/>
      <c r="E712" s="55"/>
      <c r="F712" s="55"/>
      <c r="H712" s="56"/>
      <c r="I712" s="99"/>
    </row>
    <row r="713" ht="15.75" customHeight="1">
      <c r="C713" s="54"/>
      <c r="D713" s="55"/>
      <c r="E713" s="55"/>
      <c r="F713" s="55"/>
      <c r="H713" s="56"/>
      <c r="I713" s="99"/>
    </row>
    <row r="714" ht="15.75" customHeight="1">
      <c r="C714" s="54"/>
      <c r="D714" s="55"/>
      <c r="E714" s="55"/>
      <c r="F714" s="55"/>
      <c r="H714" s="56"/>
      <c r="I714" s="99"/>
    </row>
    <row r="715" ht="15.75" customHeight="1">
      <c r="C715" s="54"/>
      <c r="D715" s="55"/>
      <c r="E715" s="55"/>
      <c r="F715" s="55"/>
      <c r="H715" s="56"/>
      <c r="I715" s="99"/>
    </row>
    <row r="716" ht="15.75" customHeight="1">
      <c r="C716" s="54"/>
      <c r="D716" s="55"/>
      <c r="E716" s="55"/>
      <c r="F716" s="55"/>
      <c r="H716" s="56"/>
      <c r="I716" s="99"/>
    </row>
    <row r="717" ht="15.75" customHeight="1">
      <c r="C717" s="54"/>
      <c r="D717" s="55"/>
      <c r="E717" s="55"/>
      <c r="F717" s="55"/>
      <c r="H717" s="56"/>
      <c r="I717" s="99"/>
    </row>
    <row r="718" ht="15.75" customHeight="1">
      <c r="C718" s="54"/>
      <c r="D718" s="55"/>
      <c r="E718" s="55"/>
      <c r="F718" s="55"/>
      <c r="H718" s="56"/>
      <c r="I718" s="99"/>
    </row>
    <row r="719" ht="15.75" customHeight="1">
      <c r="C719" s="54"/>
      <c r="D719" s="55"/>
      <c r="E719" s="55"/>
      <c r="F719" s="55"/>
      <c r="H719" s="56"/>
      <c r="I719" s="99"/>
    </row>
    <row r="720" ht="15.75" customHeight="1">
      <c r="C720" s="54"/>
      <c r="D720" s="55"/>
      <c r="E720" s="55"/>
      <c r="F720" s="55"/>
      <c r="H720" s="56"/>
      <c r="I720" s="99"/>
    </row>
    <row r="721" ht="15.75" customHeight="1">
      <c r="C721" s="54"/>
      <c r="D721" s="55"/>
      <c r="E721" s="55"/>
      <c r="F721" s="55"/>
      <c r="H721" s="56"/>
      <c r="I721" s="99"/>
    </row>
    <row r="722" ht="15.75" customHeight="1">
      <c r="C722" s="54"/>
      <c r="D722" s="55"/>
      <c r="E722" s="55"/>
      <c r="F722" s="55"/>
      <c r="H722" s="56"/>
      <c r="I722" s="99"/>
    </row>
    <row r="723" ht="15.75" customHeight="1">
      <c r="C723" s="54"/>
      <c r="D723" s="55"/>
      <c r="E723" s="55"/>
      <c r="F723" s="55"/>
      <c r="H723" s="56"/>
      <c r="I723" s="99"/>
    </row>
    <row r="724" ht="15.75" customHeight="1">
      <c r="C724" s="54"/>
      <c r="D724" s="55"/>
      <c r="E724" s="55"/>
      <c r="F724" s="55"/>
      <c r="H724" s="56"/>
      <c r="I724" s="99"/>
    </row>
    <row r="725" ht="15.75" customHeight="1">
      <c r="C725" s="54"/>
      <c r="D725" s="55"/>
      <c r="E725" s="55"/>
      <c r="F725" s="55"/>
      <c r="H725" s="56"/>
      <c r="I725" s="99"/>
    </row>
    <row r="726" ht="15.75" customHeight="1">
      <c r="C726" s="54"/>
      <c r="D726" s="55"/>
      <c r="E726" s="55"/>
      <c r="F726" s="55"/>
      <c r="H726" s="56"/>
      <c r="I726" s="99"/>
    </row>
    <row r="727" ht="15.75" customHeight="1">
      <c r="C727" s="54"/>
      <c r="D727" s="55"/>
      <c r="E727" s="55"/>
      <c r="F727" s="55"/>
      <c r="H727" s="56"/>
      <c r="I727" s="99"/>
    </row>
    <row r="728" ht="15.75" customHeight="1">
      <c r="C728" s="54"/>
      <c r="D728" s="55"/>
      <c r="E728" s="55"/>
      <c r="F728" s="55"/>
      <c r="H728" s="56"/>
      <c r="I728" s="99"/>
    </row>
    <row r="729" ht="15.75" customHeight="1">
      <c r="C729" s="54"/>
      <c r="D729" s="55"/>
      <c r="E729" s="55"/>
      <c r="F729" s="55"/>
      <c r="H729" s="56"/>
      <c r="I729" s="99"/>
    </row>
    <row r="730" ht="15.75" customHeight="1">
      <c r="C730" s="54"/>
      <c r="D730" s="55"/>
      <c r="E730" s="55"/>
      <c r="F730" s="55"/>
      <c r="H730" s="56"/>
      <c r="I730" s="99"/>
    </row>
    <row r="731" ht="15.75" customHeight="1">
      <c r="C731" s="54"/>
      <c r="D731" s="55"/>
      <c r="E731" s="55"/>
      <c r="F731" s="55"/>
      <c r="H731" s="56"/>
      <c r="I731" s="99"/>
    </row>
    <row r="732" ht="15.75" customHeight="1">
      <c r="C732" s="54"/>
      <c r="D732" s="55"/>
      <c r="E732" s="55"/>
      <c r="F732" s="55"/>
      <c r="H732" s="56"/>
      <c r="I732" s="99"/>
    </row>
    <row r="733" ht="15.75" customHeight="1">
      <c r="C733" s="54"/>
      <c r="D733" s="55"/>
      <c r="E733" s="55"/>
      <c r="F733" s="55"/>
      <c r="H733" s="56"/>
      <c r="I733" s="99"/>
    </row>
    <row r="734" ht="15.75" customHeight="1">
      <c r="C734" s="54"/>
      <c r="D734" s="55"/>
      <c r="E734" s="55"/>
      <c r="F734" s="55"/>
      <c r="H734" s="56"/>
      <c r="I734" s="99"/>
    </row>
    <row r="735" ht="15.75" customHeight="1">
      <c r="C735" s="54"/>
      <c r="D735" s="55"/>
      <c r="E735" s="55"/>
      <c r="F735" s="55"/>
      <c r="H735" s="56"/>
      <c r="I735" s="99"/>
    </row>
    <row r="736" ht="15.75" customHeight="1">
      <c r="C736" s="54"/>
      <c r="D736" s="55"/>
      <c r="E736" s="55"/>
      <c r="F736" s="55"/>
      <c r="H736" s="56"/>
      <c r="I736" s="99"/>
    </row>
    <row r="737" ht="15.75" customHeight="1">
      <c r="C737" s="54"/>
      <c r="D737" s="55"/>
      <c r="E737" s="55"/>
      <c r="F737" s="55"/>
      <c r="H737" s="56"/>
      <c r="I737" s="99"/>
    </row>
    <row r="738" ht="15.75" customHeight="1">
      <c r="C738" s="54"/>
      <c r="D738" s="55"/>
      <c r="E738" s="55"/>
      <c r="F738" s="55"/>
      <c r="H738" s="56"/>
      <c r="I738" s="99"/>
    </row>
    <row r="739" ht="15.75" customHeight="1">
      <c r="C739" s="54"/>
      <c r="D739" s="55"/>
      <c r="E739" s="55"/>
      <c r="F739" s="55"/>
      <c r="H739" s="56"/>
      <c r="I739" s="99"/>
    </row>
    <row r="740" ht="15.75" customHeight="1">
      <c r="C740" s="54"/>
      <c r="D740" s="55"/>
      <c r="E740" s="55"/>
      <c r="F740" s="55"/>
      <c r="H740" s="56"/>
      <c r="I740" s="99"/>
    </row>
    <row r="741" ht="15.75" customHeight="1">
      <c r="C741" s="54"/>
      <c r="D741" s="55"/>
      <c r="E741" s="55"/>
      <c r="F741" s="55"/>
      <c r="H741" s="56"/>
      <c r="I741" s="99"/>
    </row>
    <row r="742" ht="15.75" customHeight="1">
      <c r="C742" s="54"/>
      <c r="D742" s="55"/>
      <c r="E742" s="55"/>
      <c r="F742" s="55"/>
      <c r="H742" s="56"/>
      <c r="I742" s="99"/>
    </row>
    <row r="743" ht="15.75" customHeight="1">
      <c r="C743" s="54"/>
      <c r="D743" s="55"/>
      <c r="E743" s="55"/>
      <c r="F743" s="55"/>
      <c r="H743" s="56"/>
      <c r="I743" s="99"/>
    </row>
    <row r="744" ht="15.75" customHeight="1">
      <c r="C744" s="54"/>
      <c r="D744" s="55"/>
      <c r="E744" s="55"/>
      <c r="F744" s="55"/>
      <c r="H744" s="56"/>
      <c r="I744" s="99"/>
    </row>
    <row r="745" ht="15.75" customHeight="1">
      <c r="C745" s="54"/>
      <c r="D745" s="55"/>
      <c r="E745" s="55"/>
      <c r="F745" s="55"/>
      <c r="H745" s="56"/>
      <c r="I745" s="99"/>
    </row>
    <row r="746" ht="15.75" customHeight="1">
      <c r="C746" s="54"/>
      <c r="D746" s="55"/>
      <c r="E746" s="55"/>
      <c r="F746" s="55"/>
      <c r="H746" s="56"/>
      <c r="I746" s="99"/>
    </row>
    <row r="747" ht="15.75" customHeight="1">
      <c r="C747" s="54"/>
      <c r="D747" s="55"/>
      <c r="E747" s="55"/>
      <c r="F747" s="55"/>
      <c r="H747" s="56"/>
      <c r="I747" s="99"/>
    </row>
    <row r="748" ht="15.75" customHeight="1">
      <c r="C748" s="54"/>
      <c r="D748" s="55"/>
      <c r="E748" s="55"/>
      <c r="F748" s="55"/>
      <c r="H748" s="56"/>
      <c r="I748" s="99"/>
    </row>
    <row r="749" ht="15.75" customHeight="1">
      <c r="C749" s="54"/>
      <c r="D749" s="55"/>
      <c r="E749" s="55"/>
      <c r="F749" s="55"/>
      <c r="H749" s="56"/>
      <c r="I749" s="99"/>
    </row>
    <row r="750" ht="15.75" customHeight="1">
      <c r="C750" s="54"/>
      <c r="D750" s="55"/>
      <c r="E750" s="55"/>
      <c r="F750" s="55"/>
      <c r="H750" s="56"/>
      <c r="I750" s="99"/>
    </row>
    <row r="751" ht="15.75" customHeight="1">
      <c r="C751" s="54"/>
      <c r="D751" s="55"/>
      <c r="E751" s="55"/>
      <c r="F751" s="55"/>
      <c r="H751" s="56"/>
      <c r="I751" s="99"/>
    </row>
    <row r="752" ht="15.75" customHeight="1">
      <c r="C752" s="54"/>
      <c r="D752" s="55"/>
      <c r="E752" s="55"/>
      <c r="F752" s="55"/>
      <c r="H752" s="56"/>
      <c r="I752" s="99"/>
    </row>
    <row r="753" ht="15.75" customHeight="1">
      <c r="C753" s="54"/>
      <c r="D753" s="55"/>
      <c r="E753" s="55"/>
      <c r="F753" s="55"/>
      <c r="H753" s="56"/>
      <c r="I753" s="99"/>
    </row>
    <row r="754" ht="15.75" customHeight="1">
      <c r="C754" s="54"/>
      <c r="D754" s="55"/>
      <c r="E754" s="55"/>
      <c r="F754" s="55"/>
      <c r="H754" s="56"/>
      <c r="I754" s="99"/>
    </row>
    <row r="755" ht="15.75" customHeight="1">
      <c r="C755" s="54"/>
      <c r="D755" s="55"/>
      <c r="E755" s="55"/>
      <c r="F755" s="55"/>
      <c r="H755" s="56"/>
      <c r="I755" s="99"/>
    </row>
    <row r="756" ht="15.75" customHeight="1">
      <c r="C756" s="54"/>
      <c r="D756" s="55"/>
      <c r="E756" s="55"/>
      <c r="F756" s="55"/>
      <c r="H756" s="56"/>
      <c r="I756" s="99"/>
    </row>
    <row r="757" ht="15.75" customHeight="1">
      <c r="C757" s="54"/>
      <c r="D757" s="55"/>
      <c r="E757" s="55"/>
      <c r="F757" s="55"/>
      <c r="H757" s="56"/>
      <c r="I757" s="99"/>
    </row>
    <row r="758" ht="15.75" customHeight="1">
      <c r="C758" s="54"/>
      <c r="D758" s="55"/>
      <c r="E758" s="55"/>
      <c r="F758" s="55"/>
      <c r="H758" s="56"/>
      <c r="I758" s="99"/>
    </row>
    <row r="759" ht="15.75" customHeight="1">
      <c r="C759" s="54"/>
      <c r="D759" s="55"/>
      <c r="E759" s="55"/>
      <c r="F759" s="55"/>
      <c r="H759" s="56"/>
      <c r="I759" s="99"/>
    </row>
    <row r="760" ht="15.75" customHeight="1">
      <c r="C760" s="54"/>
      <c r="D760" s="55"/>
      <c r="E760" s="55"/>
      <c r="F760" s="55"/>
      <c r="H760" s="56"/>
      <c r="I760" s="99"/>
    </row>
    <row r="761" ht="15.75" customHeight="1">
      <c r="C761" s="54"/>
      <c r="D761" s="55"/>
      <c r="E761" s="55"/>
      <c r="F761" s="55"/>
      <c r="H761" s="56"/>
      <c r="I761" s="99"/>
    </row>
    <row r="762" ht="15.75" customHeight="1">
      <c r="C762" s="54"/>
      <c r="D762" s="55"/>
      <c r="E762" s="55"/>
      <c r="F762" s="55"/>
      <c r="H762" s="56"/>
      <c r="I762" s="99"/>
    </row>
    <row r="763" ht="15.75" customHeight="1">
      <c r="C763" s="54"/>
      <c r="D763" s="55"/>
      <c r="E763" s="55"/>
      <c r="F763" s="55"/>
      <c r="H763" s="56"/>
      <c r="I763" s="99"/>
    </row>
    <row r="764" ht="15.75" customHeight="1">
      <c r="C764" s="54"/>
      <c r="D764" s="55"/>
      <c r="E764" s="55"/>
      <c r="F764" s="55"/>
      <c r="H764" s="56"/>
      <c r="I764" s="99"/>
    </row>
    <row r="765" ht="15.75" customHeight="1">
      <c r="C765" s="54"/>
      <c r="D765" s="55"/>
      <c r="E765" s="55"/>
      <c r="F765" s="55"/>
      <c r="H765" s="56"/>
      <c r="I765" s="99"/>
    </row>
    <row r="766" ht="15.75" customHeight="1">
      <c r="C766" s="54"/>
      <c r="D766" s="55"/>
      <c r="E766" s="55"/>
      <c r="F766" s="55"/>
      <c r="H766" s="56"/>
      <c r="I766" s="99"/>
    </row>
    <row r="767" ht="15.75" customHeight="1">
      <c r="C767" s="54"/>
      <c r="D767" s="55"/>
      <c r="E767" s="55"/>
      <c r="F767" s="55"/>
      <c r="H767" s="56"/>
      <c r="I767" s="99"/>
    </row>
    <row r="768" ht="15.75" customHeight="1">
      <c r="C768" s="54"/>
      <c r="D768" s="55"/>
      <c r="E768" s="55"/>
      <c r="F768" s="55"/>
      <c r="H768" s="56"/>
      <c r="I768" s="99"/>
    </row>
    <row r="769" ht="15.75" customHeight="1">
      <c r="C769" s="54"/>
      <c r="D769" s="55"/>
      <c r="E769" s="55"/>
      <c r="F769" s="55"/>
      <c r="H769" s="56"/>
      <c r="I769" s="99"/>
    </row>
    <row r="770" ht="15.75" customHeight="1">
      <c r="C770" s="54"/>
      <c r="D770" s="55"/>
      <c r="E770" s="55"/>
      <c r="F770" s="55"/>
      <c r="H770" s="56"/>
      <c r="I770" s="99"/>
    </row>
    <row r="771" ht="15.75" customHeight="1">
      <c r="C771" s="54"/>
      <c r="D771" s="55"/>
      <c r="E771" s="55"/>
      <c r="F771" s="55"/>
      <c r="H771" s="56"/>
      <c r="I771" s="99"/>
    </row>
    <row r="772" ht="15.75" customHeight="1">
      <c r="C772" s="54"/>
      <c r="D772" s="55"/>
      <c r="E772" s="55"/>
      <c r="F772" s="55"/>
      <c r="H772" s="56"/>
      <c r="I772" s="99"/>
    </row>
    <row r="773" ht="15.75" customHeight="1">
      <c r="C773" s="54"/>
      <c r="D773" s="55"/>
      <c r="E773" s="55"/>
      <c r="F773" s="55"/>
      <c r="H773" s="56"/>
      <c r="I773" s="99"/>
    </row>
    <row r="774" ht="15.75" customHeight="1">
      <c r="C774" s="54"/>
      <c r="D774" s="55"/>
      <c r="E774" s="55"/>
      <c r="F774" s="55"/>
      <c r="H774" s="56"/>
      <c r="I774" s="99"/>
    </row>
    <row r="775" ht="15.75" customHeight="1">
      <c r="C775" s="54"/>
      <c r="D775" s="55"/>
      <c r="E775" s="55"/>
      <c r="F775" s="55"/>
      <c r="H775" s="56"/>
      <c r="I775" s="99"/>
    </row>
    <row r="776" ht="15.75" customHeight="1">
      <c r="C776" s="54"/>
      <c r="D776" s="55"/>
      <c r="E776" s="55"/>
      <c r="F776" s="55"/>
      <c r="H776" s="56"/>
      <c r="I776" s="99"/>
    </row>
    <row r="777" ht="15.75" customHeight="1">
      <c r="C777" s="54"/>
      <c r="D777" s="55"/>
      <c r="E777" s="55"/>
      <c r="F777" s="55"/>
      <c r="H777" s="56"/>
      <c r="I777" s="99"/>
    </row>
    <row r="778" ht="15.75" customHeight="1">
      <c r="C778" s="54"/>
      <c r="D778" s="55"/>
      <c r="E778" s="55"/>
      <c r="F778" s="55"/>
      <c r="H778" s="56"/>
      <c r="I778" s="99"/>
    </row>
    <row r="779" ht="15.75" customHeight="1">
      <c r="C779" s="54"/>
      <c r="D779" s="55"/>
      <c r="E779" s="55"/>
      <c r="F779" s="55"/>
      <c r="H779" s="56"/>
      <c r="I779" s="99"/>
    </row>
    <row r="780" ht="15.75" customHeight="1">
      <c r="C780" s="54"/>
      <c r="D780" s="55"/>
      <c r="E780" s="55"/>
      <c r="F780" s="55"/>
      <c r="H780" s="56"/>
      <c r="I780" s="99"/>
    </row>
    <row r="781" ht="15.75" customHeight="1">
      <c r="C781" s="54"/>
      <c r="D781" s="55"/>
      <c r="E781" s="55"/>
      <c r="F781" s="55"/>
      <c r="H781" s="56"/>
      <c r="I781" s="99"/>
    </row>
    <row r="782" ht="15.75" customHeight="1">
      <c r="C782" s="54"/>
      <c r="D782" s="55"/>
      <c r="E782" s="55"/>
      <c r="F782" s="55"/>
      <c r="H782" s="56"/>
      <c r="I782" s="99"/>
    </row>
    <row r="783" ht="15.75" customHeight="1">
      <c r="C783" s="54"/>
      <c r="D783" s="55"/>
      <c r="E783" s="55"/>
      <c r="F783" s="55"/>
      <c r="H783" s="56"/>
      <c r="I783" s="99"/>
    </row>
    <row r="784" ht="15.75" customHeight="1">
      <c r="C784" s="54"/>
      <c r="D784" s="55"/>
      <c r="E784" s="55"/>
      <c r="F784" s="55"/>
      <c r="H784" s="56"/>
      <c r="I784" s="99"/>
    </row>
    <row r="785" ht="15.75" customHeight="1">
      <c r="C785" s="54"/>
      <c r="D785" s="55"/>
      <c r="E785" s="55"/>
      <c r="F785" s="55"/>
      <c r="H785" s="56"/>
      <c r="I785" s="99"/>
    </row>
    <row r="786" ht="15.75" customHeight="1">
      <c r="C786" s="54"/>
      <c r="D786" s="55"/>
      <c r="E786" s="55"/>
      <c r="F786" s="55"/>
      <c r="H786" s="56"/>
      <c r="I786" s="99"/>
    </row>
    <row r="787" ht="15.75" customHeight="1">
      <c r="C787" s="54"/>
      <c r="D787" s="55"/>
      <c r="E787" s="55"/>
      <c r="F787" s="55"/>
      <c r="H787" s="56"/>
      <c r="I787" s="99"/>
    </row>
    <row r="788" ht="15.75" customHeight="1">
      <c r="C788" s="54"/>
      <c r="D788" s="55"/>
      <c r="E788" s="55"/>
      <c r="F788" s="55"/>
      <c r="H788" s="56"/>
      <c r="I788" s="99"/>
    </row>
    <row r="789" ht="15.75" customHeight="1">
      <c r="C789" s="54"/>
      <c r="D789" s="55"/>
      <c r="E789" s="55"/>
      <c r="F789" s="55"/>
      <c r="H789" s="56"/>
      <c r="I789" s="99"/>
    </row>
    <row r="790" ht="15.75" customHeight="1">
      <c r="C790" s="54"/>
      <c r="D790" s="55"/>
      <c r="E790" s="55"/>
      <c r="F790" s="55"/>
      <c r="H790" s="56"/>
      <c r="I790" s="99"/>
    </row>
    <row r="791" ht="15.75" customHeight="1">
      <c r="C791" s="54"/>
      <c r="D791" s="55"/>
      <c r="E791" s="55"/>
      <c r="F791" s="55"/>
      <c r="H791" s="56"/>
      <c r="I791" s="99"/>
    </row>
    <row r="792" ht="15.75" customHeight="1">
      <c r="C792" s="54"/>
      <c r="D792" s="55"/>
      <c r="E792" s="55"/>
      <c r="F792" s="55"/>
      <c r="H792" s="56"/>
      <c r="I792" s="99"/>
    </row>
    <row r="793" ht="15.75" customHeight="1">
      <c r="C793" s="54"/>
      <c r="D793" s="55"/>
      <c r="E793" s="55"/>
      <c r="F793" s="55"/>
      <c r="H793" s="56"/>
      <c r="I793" s="99"/>
    </row>
    <row r="794" ht="15.75" customHeight="1">
      <c r="C794" s="54"/>
      <c r="D794" s="55"/>
      <c r="E794" s="55"/>
      <c r="F794" s="55"/>
      <c r="H794" s="56"/>
      <c r="I794" s="99"/>
    </row>
    <row r="795" ht="15.75" customHeight="1">
      <c r="C795" s="54"/>
      <c r="D795" s="55"/>
      <c r="E795" s="55"/>
      <c r="F795" s="55"/>
      <c r="H795" s="56"/>
      <c r="I795" s="99"/>
    </row>
    <row r="796" ht="15.75" customHeight="1">
      <c r="C796" s="54"/>
      <c r="D796" s="55"/>
      <c r="E796" s="55"/>
      <c r="F796" s="55"/>
      <c r="H796" s="56"/>
      <c r="I796" s="99"/>
    </row>
    <row r="797" ht="15.75" customHeight="1">
      <c r="C797" s="54"/>
      <c r="D797" s="55"/>
      <c r="E797" s="55"/>
      <c r="F797" s="55"/>
      <c r="H797" s="56"/>
      <c r="I797" s="99"/>
    </row>
    <row r="798" ht="15.75" customHeight="1">
      <c r="C798" s="54"/>
      <c r="D798" s="55"/>
      <c r="E798" s="55"/>
      <c r="F798" s="55"/>
      <c r="H798" s="56"/>
      <c r="I798" s="99"/>
    </row>
    <row r="799" ht="15.75" customHeight="1">
      <c r="C799" s="54"/>
      <c r="D799" s="55"/>
      <c r="E799" s="55"/>
      <c r="F799" s="55"/>
      <c r="H799" s="56"/>
      <c r="I799" s="99"/>
    </row>
    <row r="800" ht="15.75" customHeight="1">
      <c r="C800" s="54"/>
      <c r="D800" s="55"/>
      <c r="E800" s="55"/>
      <c r="F800" s="55"/>
      <c r="H800" s="56"/>
      <c r="I800" s="99"/>
    </row>
    <row r="801" ht="15.75" customHeight="1">
      <c r="C801" s="54"/>
      <c r="D801" s="55"/>
      <c r="E801" s="55"/>
      <c r="F801" s="55"/>
      <c r="H801" s="56"/>
      <c r="I801" s="99"/>
    </row>
    <row r="802" ht="15.75" customHeight="1">
      <c r="C802" s="54"/>
      <c r="D802" s="55"/>
      <c r="E802" s="55"/>
      <c r="F802" s="55"/>
      <c r="H802" s="56"/>
      <c r="I802" s="99"/>
    </row>
    <row r="803" ht="15.75" customHeight="1">
      <c r="C803" s="54"/>
      <c r="D803" s="55"/>
      <c r="E803" s="55"/>
      <c r="F803" s="55"/>
      <c r="H803" s="56"/>
      <c r="I803" s="99"/>
    </row>
    <row r="804" ht="15.75" customHeight="1">
      <c r="C804" s="54"/>
      <c r="D804" s="55"/>
      <c r="E804" s="55"/>
      <c r="F804" s="55"/>
      <c r="H804" s="56"/>
      <c r="I804" s="99"/>
    </row>
    <row r="805" ht="15.75" customHeight="1">
      <c r="C805" s="54"/>
      <c r="D805" s="55"/>
      <c r="E805" s="55"/>
      <c r="F805" s="55"/>
      <c r="H805" s="56"/>
      <c r="I805" s="99"/>
    </row>
    <row r="806" ht="15.75" customHeight="1">
      <c r="C806" s="54"/>
      <c r="D806" s="55"/>
      <c r="E806" s="55"/>
      <c r="F806" s="55"/>
      <c r="H806" s="56"/>
      <c r="I806" s="99"/>
    </row>
    <row r="807" ht="15.75" customHeight="1">
      <c r="C807" s="54"/>
      <c r="D807" s="55"/>
      <c r="E807" s="55"/>
      <c r="F807" s="55"/>
      <c r="H807" s="56"/>
      <c r="I807" s="99"/>
    </row>
    <row r="808" ht="15.75" customHeight="1">
      <c r="C808" s="54"/>
      <c r="D808" s="55"/>
      <c r="E808" s="55"/>
      <c r="F808" s="55"/>
      <c r="H808" s="56"/>
      <c r="I808" s="99"/>
    </row>
    <row r="809" ht="15.75" customHeight="1">
      <c r="C809" s="54"/>
      <c r="D809" s="55"/>
      <c r="E809" s="55"/>
      <c r="F809" s="55"/>
      <c r="H809" s="56"/>
      <c r="I809" s="99"/>
    </row>
    <row r="810" ht="15.75" customHeight="1">
      <c r="C810" s="54"/>
      <c r="D810" s="55"/>
      <c r="E810" s="55"/>
      <c r="F810" s="55"/>
      <c r="H810" s="56"/>
      <c r="I810" s="99"/>
    </row>
    <row r="811" ht="15.75" customHeight="1">
      <c r="C811" s="54"/>
      <c r="D811" s="55"/>
      <c r="E811" s="55"/>
      <c r="F811" s="55"/>
      <c r="H811" s="56"/>
      <c r="I811" s="99"/>
    </row>
    <row r="812" ht="15.75" customHeight="1">
      <c r="C812" s="54"/>
      <c r="D812" s="55"/>
      <c r="E812" s="55"/>
      <c r="F812" s="55"/>
      <c r="H812" s="56"/>
      <c r="I812" s="99"/>
    </row>
    <row r="813" ht="15.75" customHeight="1">
      <c r="C813" s="54"/>
      <c r="D813" s="55"/>
      <c r="E813" s="55"/>
      <c r="F813" s="55"/>
      <c r="H813" s="56"/>
      <c r="I813" s="99"/>
    </row>
    <row r="814" ht="15.75" customHeight="1">
      <c r="C814" s="54"/>
      <c r="D814" s="55"/>
      <c r="E814" s="55"/>
      <c r="F814" s="55"/>
      <c r="H814" s="56"/>
      <c r="I814" s="99"/>
    </row>
    <row r="815" ht="15.75" customHeight="1">
      <c r="C815" s="54"/>
      <c r="D815" s="55"/>
      <c r="E815" s="55"/>
      <c r="F815" s="55"/>
      <c r="H815" s="56"/>
      <c r="I815" s="99"/>
    </row>
    <row r="816" ht="15.75" customHeight="1">
      <c r="C816" s="54"/>
      <c r="D816" s="55"/>
      <c r="E816" s="55"/>
      <c r="F816" s="55"/>
      <c r="H816" s="56"/>
      <c r="I816" s="99"/>
    </row>
    <row r="817" ht="15.75" customHeight="1">
      <c r="C817" s="54"/>
      <c r="D817" s="55"/>
      <c r="E817" s="55"/>
      <c r="F817" s="55"/>
      <c r="H817" s="56"/>
      <c r="I817" s="99"/>
    </row>
    <row r="818" ht="15.75" customHeight="1">
      <c r="C818" s="54"/>
      <c r="D818" s="55"/>
      <c r="E818" s="55"/>
      <c r="F818" s="55"/>
      <c r="H818" s="56"/>
      <c r="I818" s="99"/>
    </row>
    <row r="819" ht="15.75" customHeight="1">
      <c r="C819" s="54"/>
      <c r="D819" s="55"/>
      <c r="E819" s="55"/>
      <c r="F819" s="55"/>
      <c r="H819" s="56"/>
      <c r="I819" s="99"/>
    </row>
    <row r="820" ht="15.75" customHeight="1">
      <c r="C820" s="54"/>
      <c r="D820" s="55"/>
      <c r="E820" s="55"/>
      <c r="F820" s="55"/>
      <c r="H820" s="56"/>
      <c r="I820" s="99"/>
    </row>
    <row r="821" ht="15.75" customHeight="1">
      <c r="C821" s="54"/>
      <c r="D821" s="55"/>
      <c r="E821" s="55"/>
      <c r="F821" s="55"/>
      <c r="H821" s="56"/>
      <c r="I821" s="99"/>
    </row>
    <row r="822" ht="15.75" customHeight="1">
      <c r="C822" s="54"/>
      <c r="D822" s="55"/>
      <c r="E822" s="55"/>
      <c r="F822" s="55"/>
      <c r="H822" s="56"/>
      <c r="I822" s="99"/>
    </row>
    <row r="823" ht="15.75" customHeight="1">
      <c r="C823" s="54"/>
      <c r="D823" s="55"/>
      <c r="E823" s="55"/>
      <c r="F823" s="55"/>
      <c r="H823" s="56"/>
      <c r="I823" s="99"/>
    </row>
    <row r="824" ht="15.75" customHeight="1">
      <c r="C824" s="54"/>
      <c r="D824" s="55"/>
      <c r="E824" s="55"/>
      <c r="F824" s="55"/>
      <c r="H824" s="56"/>
      <c r="I824" s="99"/>
    </row>
    <row r="825" ht="15.75" customHeight="1">
      <c r="C825" s="54"/>
      <c r="D825" s="55"/>
      <c r="E825" s="55"/>
      <c r="F825" s="55"/>
      <c r="H825" s="56"/>
      <c r="I825" s="99"/>
    </row>
    <row r="826" ht="15.75" customHeight="1">
      <c r="C826" s="54"/>
      <c r="D826" s="55"/>
      <c r="E826" s="55"/>
      <c r="F826" s="55"/>
      <c r="H826" s="56"/>
      <c r="I826" s="99"/>
    </row>
    <row r="827" ht="15.75" customHeight="1">
      <c r="C827" s="54"/>
      <c r="D827" s="55"/>
      <c r="E827" s="55"/>
      <c r="F827" s="55"/>
      <c r="H827" s="56"/>
      <c r="I827" s="99"/>
    </row>
    <row r="828" ht="15.75" customHeight="1">
      <c r="C828" s="54"/>
      <c r="D828" s="55"/>
      <c r="E828" s="55"/>
      <c r="F828" s="55"/>
      <c r="H828" s="56"/>
      <c r="I828" s="99"/>
    </row>
    <row r="829" ht="15.75" customHeight="1">
      <c r="C829" s="54"/>
      <c r="D829" s="55"/>
      <c r="E829" s="55"/>
      <c r="F829" s="55"/>
      <c r="H829" s="56"/>
      <c r="I829" s="99"/>
    </row>
    <row r="830" ht="15.75" customHeight="1">
      <c r="C830" s="54"/>
      <c r="D830" s="55"/>
      <c r="E830" s="55"/>
      <c r="F830" s="55"/>
      <c r="H830" s="56"/>
      <c r="I830" s="99"/>
    </row>
    <row r="831" ht="15.75" customHeight="1">
      <c r="C831" s="54"/>
      <c r="D831" s="55"/>
      <c r="E831" s="55"/>
      <c r="F831" s="55"/>
      <c r="H831" s="56"/>
      <c r="I831" s="99"/>
    </row>
    <row r="832" ht="15.75" customHeight="1">
      <c r="C832" s="54"/>
      <c r="D832" s="55"/>
      <c r="E832" s="55"/>
      <c r="F832" s="55"/>
      <c r="H832" s="56"/>
      <c r="I832" s="99"/>
    </row>
    <row r="833" ht="15.75" customHeight="1">
      <c r="C833" s="54"/>
      <c r="D833" s="55"/>
      <c r="E833" s="55"/>
      <c r="F833" s="55"/>
      <c r="H833" s="56"/>
      <c r="I833" s="99"/>
    </row>
    <row r="834" ht="15.75" customHeight="1">
      <c r="C834" s="54"/>
      <c r="D834" s="55"/>
      <c r="E834" s="55"/>
      <c r="F834" s="55"/>
      <c r="H834" s="56"/>
      <c r="I834" s="99"/>
    </row>
    <row r="835" ht="15.75" customHeight="1">
      <c r="C835" s="54"/>
      <c r="D835" s="55"/>
      <c r="E835" s="55"/>
      <c r="F835" s="55"/>
      <c r="H835" s="56"/>
      <c r="I835" s="99"/>
    </row>
    <row r="836" ht="15.75" customHeight="1">
      <c r="C836" s="54"/>
      <c r="D836" s="55"/>
      <c r="E836" s="55"/>
      <c r="F836" s="55"/>
      <c r="H836" s="56"/>
      <c r="I836" s="99"/>
    </row>
    <row r="837" ht="15.75" customHeight="1">
      <c r="C837" s="54"/>
      <c r="D837" s="55"/>
      <c r="E837" s="55"/>
      <c r="F837" s="55"/>
      <c r="H837" s="56"/>
      <c r="I837" s="99"/>
    </row>
    <row r="838" ht="15.75" customHeight="1">
      <c r="C838" s="54"/>
      <c r="D838" s="55"/>
      <c r="E838" s="55"/>
      <c r="F838" s="55"/>
      <c r="H838" s="56"/>
      <c r="I838" s="99"/>
    </row>
    <row r="839" ht="15.75" customHeight="1">
      <c r="C839" s="54"/>
      <c r="D839" s="55"/>
      <c r="E839" s="55"/>
      <c r="F839" s="55"/>
      <c r="H839" s="56"/>
      <c r="I839" s="99"/>
    </row>
    <row r="840" ht="15.75" customHeight="1">
      <c r="C840" s="54"/>
      <c r="D840" s="55"/>
      <c r="E840" s="55"/>
      <c r="F840" s="55"/>
      <c r="H840" s="56"/>
      <c r="I840" s="99"/>
    </row>
    <row r="841" ht="15.75" customHeight="1">
      <c r="C841" s="54"/>
      <c r="D841" s="55"/>
      <c r="E841" s="55"/>
      <c r="F841" s="55"/>
      <c r="H841" s="56"/>
      <c r="I841" s="99"/>
    </row>
    <row r="842" ht="15.75" customHeight="1">
      <c r="C842" s="54"/>
      <c r="D842" s="55"/>
      <c r="E842" s="55"/>
      <c r="F842" s="55"/>
      <c r="H842" s="56"/>
      <c r="I842" s="99"/>
    </row>
    <row r="843" ht="15.75" customHeight="1">
      <c r="C843" s="54"/>
      <c r="D843" s="55"/>
      <c r="E843" s="55"/>
      <c r="F843" s="55"/>
      <c r="H843" s="56"/>
      <c r="I843" s="99"/>
    </row>
    <row r="844" ht="15.75" customHeight="1">
      <c r="C844" s="54"/>
      <c r="D844" s="55"/>
      <c r="E844" s="55"/>
      <c r="F844" s="55"/>
      <c r="H844" s="56"/>
      <c r="I844" s="99"/>
    </row>
    <row r="845" ht="15.75" customHeight="1">
      <c r="C845" s="54"/>
      <c r="D845" s="55"/>
      <c r="E845" s="55"/>
      <c r="F845" s="55"/>
      <c r="H845" s="56"/>
      <c r="I845" s="99"/>
    </row>
    <row r="846" ht="15.75" customHeight="1">
      <c r="C846" s="54"/>
      <c r="D846" s="55"/>
      <c r="E846" s="55"/>
      <c r="F846" s="55"/>
      <c r="H846" s="56"/>
      <c r="I846" s="99"/>
    </row>
    <row r="847" ht="15.75" customHeight="1">
      <c r="C847" s="54"/>
      <c r="D847" s="55"/>
      <c r="E847" s="55"/>
      <c r="F847" s="55"/>
      <c r="H847" s="56"/>
      <c r="I847" s="99"/>
    </row>
    <row r="848" ht="15.75" customHeight="1">
      <c r="C848" s="54"/>
      <c r="D848" s="55"/>
      <c r="E848" s="55"/>
      <c r="F848" s="55"/>
      <c r="H848" s="56"/>
      <c r="I848" s="99"/>
    </row>
    <row r="849" ht="15.75" customHeight="1">
      <c r="C849" s="54"/>
      <c r="D849" s="55"/>
      <c r="E849" s="55"/>
      <c r="F849" s="55"/>
      <c r="H849" s="56"/>
      <c r="I849" s="99"/>
    </row>
    <row r="850" ht="15.75" customHeight="1">
      <c r="C850" s="54"/>
      <c r="D850" s="55"/>
      <c r="E850" s="55"/>
      <c r="F850" s="55"/>
      <c r="H850" s="56"/>
      <c r="I850" s="99"/>
    </row>
    <row r="851" ht="15.75" customHeight="1">
      <c r="C851" s="54"/>
      <c r="D851" s="55"/>
      <c r="E851" s="55"/>
      <c r="F851" s="55"/>
      <c r="H851" s="56"/>
      <c r="I851" s="99"/>
    </row>
    <row r="852" ht="15.75" customHeight="1">
      <c r="C852" s="54"/>
      <c r="D852" s="55"/>
      <c r="E852" s="55"/>
      <c r="F852" s="55"/>
      <c r="H852" s="56"/>
      <c r="I852" s="99"/>
    </row>
    <row r="853" ht="15.75" customHeight="1">
      <c r="C853" s="54"/>
      <c r="D853" s="55"/>
      <c r="E853" s="55"/>
      <c r="F853" s="55"/>
      <c r="H853" s="56"/>
      <c r="I853" s="99"/>
    </row>
    <row r="854" ht="15.75" customHeight="1">
      <c r="C854" s="54"/>
      <c r="D854" s="55"/>
      <c r="E854" s="55"/>
      <c r="F854" s="55"/>
      <c r="H854" s="56"/>
      <c r="I854" s="99"/>
    </row>
    <row r="855" ht="15.75" customHeight="1">
      <c r="C855" s="54"/>
      <c r="D855" s="55"/>
      <c r="E855" s="55"/>
      <c r="F855" s="55"/>
      <c r="H855" s="56"/>
      <c r="I855" s="99"/>
    </row>
    <row r="856" ht="15.75" customHeight="1">
      <c r="C856" s="54"/>
      <c r="D856" s="55"/>
      <c r="E856" s="55"/>
      <c r="F856" s="55"/>
      <c r="H856" s="56"/>
      <c r="I856" s="99"/>
    </row>
    <row r="857" ht="15.75" customHeight="1">
      <c r="C857" s="54"/>
      <c r="D857" s="55"/>
      <c r="E857" s="55"/>
      <c r="F857" s="55"/>
      <c r="H857" s="56"/>
      <c r="I857" s="99"/>
    </row>
    <row r="858" ht="15.75" customHeight="1">
      <c r="C858" s="54"/>
      <c r="D858" s="55"/>
      <c r="E858" s="55"/>
      <c r="F858" s="55"/>
      <c r="H858" s="56"/>
      <c r="I858" s="99"/>
    </row>
    <row r="859" ht="15.75" customHeight="1">
      <c r="C859" s="54"/>
      <c r="D859" s="55"/>
      <c r="E859" s="55"/>
      <c r="F859" s="55"/>
      <c r="H859" s="56"/>
      <c r="I859" s="99"/>
    </row>
    <row r="860" ht="15.75" customHeight="1">
      <c r="C860" s="54"/>
      <c r="D860" s="55"/>
      <c r="E860" s="55"/>
      <c r="F860" s="55"/>
      <c r="H860" s="56"/>
      <c r="I860" s="99"/>
    </row>
    <row r="861" ht="15.75" customHeight="1">
      <c r="C861" s="54"/>
      <c r="D861" s="55"/>
      <c r="E861" s="55"/>
      <c r="F861" s="55"/>
      <c r="H861" s="56"/>
      <c r="I861" s="99"/>
    </row>
    <row r="862" ht="15.75" customHeight="1">
      <c r="C862" s="54"/>
      <c r="D862" s="55"/>
      <c r="E862" s="55"/>
      <c r="F862" s="55"/>
      <c r="H862" s="56"/>
      <c r="I862" s="99"/>
    </row>
    <row r="863" ht="15.75" customHeight="1">
      <c r="C863" s="54"/>
      <c r="D863" s="55"/>
      <c r="E863" s="55"/>
      <c r="F863" s="55"/>
      <c r="H863" s="56"/>
      <c r="I863" s="99"/>
    </row>
    <row r="864" ht="15.75" customHeight="1">
      <c r="C864" s="54"/>
      <c r="D864" s="55"/>
      <c r="E864" s="55"/>
      <c r="F864" s="55"/>
      <c r="H864" s="56"/>
      <c r="I864" s="99"/>
    </row>
    <row r="865" ht="15.75" customHeight="1">
      <c r="C865" s="54"/>
      <c r="D865" s="55"/>
      <c r="E865" s="55"/>
      <c r="F865" s="55"/>
      <c r="H865" s="56"/>
      <c r="I865" s="99"/>
    </row>
    <row r="866" ht="15.75" customHeight="1">
      <c r="C866" s="54"/>
      <c r="D866" s="55"/>
      <c r="E866" s="55"/>
      <c r="F866" s="55"/>
      <c r="H866" s="56"/>
      <c r="I866" s="99"/>
    </row>
    <row r="867" ht="15.75" customHeight="1">
      <c r="C867" s="54"/>
      <c r="D867" s="55"/>
      <c r="E867" s="55"/>
      <c r="F867" s="55"/>
      <c r="H867" s="56"/>
      <c r="I867" s="99"/>
    </row>
    <row r="868" ht="15.75" customHeight="1">
      <c r="C868" s="54"/>
      <c r="D868" s="55"/>
      <c r="E868" s="55"/>
      <c r="F868" s="55"/>
      <c r="H868" s="56"/>
      <c r="I868" s="99"/>
    </row>
    <row r="869" ht="15.75" customHeight="1">
      <c r="C869" s="54"/>
      <c r="D869" s="55"/>
      <c r="E869" s="55"/>
      <c r="F869" s="55"/>
      <c r="H869" s="56"/>
      <c r="I869" s="99"/>
    </row>
    <row r="870" ht="15.75" customHeight="1">
      <c r="C870" s="54"/>
      <c r="D870" s="55"/>
      <c r="E870" s="55"/>
      <c r="F870" s="55"/>
      <c r="H870" s="56"/>
      <c r="I870" s="99"/>
    </row>
    <row r="871" ht="15.75" customHeight="1">
      <c r="C871" s="54"/>
      <c r="D871" s="55"/>
      <c r="E871" s="55"/>
      <c r="F871" s="55"/>
      <c r="H871" s="56"/>
      <c r="I871" s="99"/>
    </row>
    <row r="872" ht="15.75" customHeight="1">
      <c r="C872" s="54"/>
      <c r="D872" s="55"/>
      <c r="E872" s="55"/>
      <c r="F872" s="55"/>
      <c r="H872" s="56"/>
      <c r="I872" s="99"/>
    </row>
    <row r="873" ht="15.75" customHeight="1">
      <c r="C873" s="54"/>
      <c r="D873" s="55"/>
      <c r="E873" s="55"/>
      <c r="F873" s="55"/>
      <c r="H873" s="56"/>
      <c r="I873" s="99"/>
    </row>
    <row r="874" ht="15.75" customHeight="1">
      <c r="C874" s="54"/>
      <c r="D874" s="55"/>
      <c r="E874" s="55"/>
      <c r="F874" s="55"/>
      <c r="H874" s="56"/>
      <c r="I874" s="99"/>
    </row>
    <row r="875" ht="15.75" customHeight="1">
      <c r="C875" s="54"/>
      <c r="D875" s="55"/>
      <c r="E875" s="55"/>
      <c r="F875" s="55"/>
      <c r="H875" s="56"/>
      <c r="I875" s="99"/>
    </row>
    <row r="876" ht="15.75" customHeight="1">
      <c r="C876" s="54"/>
      <c r="D876" s="55"/>
      <c r="E876" s="55"/>
      <c r="F876" s="55"/>
      <c r="H876" s="56"/>
      <c r="I876" s="99"/>
    </row>
    <row r="877" ht="15.75" customHeight="1">
      <c r="C877" s="54"/>
      <c r="D877" s="55"/>
      <c r="E877" s="55"/>
      <c r="F877" s="55"/>
      <c r="H877" s="56"/>
      <c r="I877" s="99"/>
    </row>
    <row r="878" ht="15.75" customHeight="1">
      <c r="C878" s="54"/>
      <c r="D878" s="55"/>
      <c r="E878" s="55"/>
      <c r="F878" s="55"/>
      <c r="H878" s="56"/>
      <c r="I878" s="99"/>
    </row>
    <row r="879" ht="15.75" customHeight="1">
      <c r="C879" s="54"/>
      <c r="D879" s="55"/>
      <c r="E879" s="55"/>
      <c r="F879" s="55"/>
      <c r="H879" s="56"/>
      <c r="I879" s="99"/>
    </row>
    <row r="880" ht="15.75" customHeight="1">
      <c r="C880" s="54"/>
      <c r="D880" s="55"/>
      <c r="E880" s="55"/>
      <c r="F880" s="55"/>
      <c r="H880" s="56"/>
      <c r="I880" s="99"/>
    </row>
    <row r="881" ht="15.75" customHeight="1">
      <c r="C881" s="54"/>
      <c r="D881" s="55"/>
      <c r="E881" s="55"/>
      <c r="F881" s="55"/>
      <c r="H881" s="56"/>
      <c r="I881" s="99"/>
    </row>
    <row r="882" ht="15.75" customHeight="1">
      <c r="C882" s="54"/>
      <c r="D882" s="55"/>
      <c r="E882" s="55"/>
      <c r="F882" s="55"/>
      <c r="H882" s="56"/>
      <c r="I882" s="99"/>
    </row>
    <row r="883" ht="15.75" customHeight="1">
      <c r="C883" s="54"/>
      <c r="D883" s="55"/>
      <c r="E883" s="55"/>
      <c r="F883" s="55"/>
      <c r="H883" s="56"/>
      <c r="I883" s="99"/>
    </row>
    <row r="884" ht="15.75" customHeight="1">
      <c r="C884" s="54"/>
      <c r="D884" s="55"/>
      <c r="E884" s="55"/>
      <c r="F884" s="55"/>
      <c r="H884" s="56"/>
      <c r="I884" s="99"/>
    </row>
    <row r="885" ht="15.75" customHeight="1">
      <c r="C885" s="54"/>
      <c r="D885" s="55"/>
      <c r="E885" s="55"/>
      <c r="F885" s="55"/>
      <c r="H885" s="56"/>
      <c r="I885" s="99"/>
    </row>
    <row r="886" ht="15.75" customHeight="1">
      <c r="C886" s="54"/>
      <c r="D886" s="55"/>
      <c r="E886" s="55"/>
      <c r="F886" s="55"/>
      <c r="H886" s="56"/>
      <c r="I886" s="99"/>
    </row>
    <row r="887" ht="15.75" customHeight="1">
      <c r="C887" s="54"/>
      <c r="D887" s="55"/>
      <c r="E887" s="55"/>
      <c r="F887" s="55"/>
      <c r="H887" s="56"/>
      <c r="I887" s="99"/>
    </row>
    <row r="888" ht="15.75" customHeight="1">
      <c r="C888" s="54"/>
      <c r="D888" s="55"/>
      <c r="E888" s="55"/>
      <c r="F888" s="55"/>
      <c r="H888" s="56"/>
      <c r="I888" s="99"/>
    </row>
    <row r="889" ht="15.75" customHeight="1">
      <c r="C889" s="54"/>
      <c r="D889" s="55"/>
      <c r="E889" s="55"/>
      <c r="F889" s="55"/>
      <c r="H889" s="56"/>
      <c r="I889" s="99"/>
    </row>
    <row r="890" ht="15.75" customHeight="1">
      <c r="C890" s="54"/>
      <c r="D890" s="55"/>
      <c r="E890" s="55"/>
      <c r="F890" s="55"/>
      <c r="H890" s="56"/>
      <c r="I890" s="99"/>
    </row>
    <row r="891" ht="15.75" customHeight="1">
      <c r="C891" s="54"/>
      <c r="D891" s="55"/>
      <c r="E891" s="55"/>
      <c r="F891" s="55"/>
      <c r="H891" s="56"/>
      <c r="I891" s="99"/>
    </row>
    <row r="892" ht="15.75" customHeight="1">
      <c r="C892" s="54"/>
      <c r="D892" s="55"/>
      <c r="E892" s="55"/>
      <c r="F892" s="55"/>
      <c r="H892" s="56"/>
      <c r="I892" s="99"/>
    </row>
    <row r="893" ht="15.75" customHeight="1">
      <c r="C893" s="54"/>
      <c r="D893" s="55"/>
      <c r="E893" s="55"/>
      <c r="F893" s="55"/>
      <c r="H893" s="56"/>
      <c r="I893" s="99"/>
    </row>
    <row r="894" ht="15.75" customHeight="1">
      <c r="C894" s="54"/>
      <c r="D894" s="55"/>
      <c r="E894" s="55"/>
      <c r="F894" s="55"/>
      <c r="H894" s="56"/>
      <c r="I894" s="99"/>
    </row>
    <row r="895" ht="15.75" customHeight="1">
      <c r="C895" s="54"/>
      <c r="D895" s="55"/>
      <c r="E895" s="55"/>
      <c r="F895" s="55"/>
      <c r="H895" s="56"/>
      <c r="I895" s="99"/>
    </row>
    <row r="896" ht="15.75" customHeight="1">
      <c r="C896" s="54"/>
      <c r="D896" s="55"/>
      <c r="E896" s="55"/>
      <c r="F896" s="55"/>
      <c r="H896" s="56"/>
      <c r="I896" s="99"/>
    </row>
    <row r="897" ht="15.75" customHeight="1">
      <c r="C897" s="54"/>
      <c r="D897" s="55"/>
      <c r="E897" s="55"/>
      <c r="F897" s="55"/>
      <c r="H897" s="56"/>
      <c r="I897" s="99"/>
    </row>
    <row r="898" ht="15.75" customHeight="1">
      <c r="C898" s="54"/>
      <c r="D898" s="55"/>
      <c r="E898" s="55"/>
      <c r="F898" s="55"/>
      <c r="H898" s="56"/>
      <c r="I898" s="99"/>
    </row>
    <row r="899" ht="15.75" customHeight="1">
      <c r="C899" s="54"/>
      <c r="D899" s="55"/>
      <c r="E899" s="55"/>
      <c r="F899" s="55"/>
      <c r="H899" s="56"/>
      <c r="I899" s="99"/>
    </row>
    <row r="900" ht="15.75" customHeight="1">
      <c r="C900" s="54"/>
      <c r="D900" s="55"/>
      <c r="E900" s="55"/>
      <c r="F900" s="55"/>
      <c r="H900" s="56"/>
      <c r="I900" s="99"/>
    </row>
    <row r="901" ht="15.75" customHeight="1">
      <c r="C901" s="54"/>
      <c r="D901" s="55"/>
      <c r="E901" s="55"/>
      <c r="F901" s="55"/>
      <c r="H901" s="56"/>
      <c r="I901" s="99"/>
    </row>
    <row r="902" ht="15.75" customHeight="1">
      <c r="C902" s="54"/>
      <c r="D902" s="55"/>
      <c r="E902" s="55"/>
      <c r="F902" s="55"/>
      <c r="H902" s="56"/>
      <c r="I902" s="99"/>
    </row>
    <row r="903" ht="15.75" customHeight="1">
      <c r="C903" s="54"/>
      <c r="D903" s="55"/>
      <c r="E903" s="55"/>
      <c r="F903" s="55"/>
      <c r="H903" s="56"/>
      <c r="I903" s="99"/>
    </row>
    <row r="904" ht="15.75" customHeight="1">
      <c r="C904" s="54"/>
      <c r="D904" s="55"/>
      <c r="E904" s="55"/>
      <c r="F904" s="55"/>
      <c r="H904" s="56"/>
      <c r="I904" s="99"/>
    </row>
    <row r="905" ht="15.75" customHeight="1">
      <c r="C905" s="54"/>
      <c r="D905" s="55"/>
      <c r="E905" s="55"/>
      <c r="F905" s="55"/>
      <c r="H905" s="56"/>
      <c r="I905" s="99"/>
    </row>
    <row r="906" ht="15.75" customHeight="1">
      <c r="C906" s="54"/>
      <c r="D906" s="55"/>
      <c r="E906" s="55"/>
      <c r="F906" s="55"/>
      <c r="H906" s="56"/>
      <c r="I906" s="99"/>
    </row>
    <row r="907" ht="15.75" customHeight="1">
      <c r="C907" s="54"/>
      <c r="D907" s="55"/>
      <c r="E907" s="55"/>
      <c r="F907" s="55"/>
      <c r="H907" s="56"/>
      <c r="I907" s="99"/>
    </row>
    <row r="908" ht="15.75" customHeight="1">
      <c r="C908" s="54"/>
      <c r="D908" s="55"/>
      <c r="E908" s="55"/>
      <c r="F908" s="55"/>
      <c r="H908" s="56"/>
      <c r="I908" s="99"/>
    </row>
    <row r="909" ht="15.75" customHeight="1">
      <c r="C909" s="54"/>
      <c r="D909" s="55"/>
      <c r="E909" s="55"/>
      <c r="F909" s="55"/>
      <c r="H909" s="56"/>
      <c r="I909" s="99"/>
    </row>
    <row r="910" ht="15.75" customHeight="1">
      <c r="C910" s="54"/>
      <c r="D910" s="55"/>
      <c r="E910" s="55"/>
      <c r="F910" s="55"/>
      <c r="H910" s="56"/>
      <c r="I910" s="99"/>
    </row>
    <row r="911" ht="15.75" customHeight="1">
      <c r="C911" s="54"/>
      <c r="D911" s="55"/>
      <c r="E911" s="55"/>
      <c r="F911" s="55"/>
      <c r="H911" s="56"/>
      <c r="I911" s="99"/>
    </row>
    <row r="912" ht="15.75" customHeight="1">
      <c r="C912" s="54"/>
      <c r="D912" s="55"/>
      <c r="E912" s="55"/>
      <c r="F912" s="55"/>
      <c r="H912" s="56"/>
      <c r="I912" s="99"/>
    </row>
    <row r="913" ht="15.75" customHeight="1">
      <c r="C913" s="54"/>
      <c r="D913" s="55"/>
      <c r="E913" s="55"/>
      <c r="F913" s="55"/>
      <c r="H913" s="56"/>
      <c r="I913" s="99"/>
    </row>
    <row r="914" ht="15.75" customHeight="1">
      <c r="C914" s="54"/>
      <c r="D914" s="55"/>
      <c r="E914" s="55"/>
      <c r="F914" s="55"/>
      <c r="H914" s="56"/>
      <c r="I914" s="99"/>
    </row>
    <row r="915" ht="15.75" customHeight="1">
      <c r="C915" s="54"/>
      <c r="D915" s="55"/>
      <c r="E915" s="55"/>
      <c r="F915" s="55"/>
      <c r="H915" s="56"/>
      <c r="I915" s="99"/>
    </row>
    <row r="916" ht="15.75" customHeight="1">
      <c r="C916" s="54"/>
      <c r="D916" s="55"/>
      <c r="E916" s="55"/>
      <c r="F916" s="55"/>
      <c r="H916" s="56"/>
      <c r="I916" s="99"/>
    </row>
    <row r="917" ht="15.75" customHeight="1">
      <c r="C917" s="54"/>
      <c r="D917" s="55"/>
      <c r="E917" s="55"/>
      <c r="F917" s="55"/>
      <c r="H917" s="56"/>
      <c r="I917" s="99"/>
    </row>
    <row r="918" ht="15.75" customHeight="1">
      <c r="C918" s="54"/>
      <c r="D918" s="55"/>
      <c r="E918" s="55"/>
      <c r="F918" s="55"/>
      <c r="H918" s="56"/>
      <c r="I918" s="99"/>
    </row>
    <row r="919" ht="15.75" customHeight="1">
      <c r="C919" s="54"/>
      <c r="D919" s="55"/>
      <c r="E919" s="55"/>
      <c r="F919" s="55"/>
      <c r="H919" s="56"/>
      <c r="I919" s="99"/>
    </row>
    <row r="920" ht="15.75" customHeight="1">
      <c r="C920" s="54"/>
      <c r="D920" s="55"/>
      <c r="E920" s="55"/>
      <c r="F920" s="55"/>
      <c r="H920" s="56"/>
      <c r="I920" s="99"/>
    </row>
    <row r="921" ht="15.75" customHeight="1">
      <c r="C921" s="54"/>
      <c r="D921" s="55"/>
      <c r="E921" s="55"/>
      <c r="F921" s="55"/>
      <c r="H921" s="56"/>
      <c r="I921" s="99"/>
    </row>
    <row r="922" ht="15.75" customHeight="1">
      <c r="C922" s="54"/>
      <c r="D922" s="55"/>
      <c r="E922" s="55"/>
      <c r="F922" s="55"/>
      <c r="H922" s="56"/>
      <c r="I922" s="99"/>
    </row>
    <row r="923" ht="15.75" customHeight="1">
      <c r="C923" s="54"/>
      <c r="D923" s="55"/>
      <c r="E923" s="55"/>
      <c r="F923" s="55"/>
      <c r="H923" s="56"/>
      <c r="I923" s="99"/>
    </row>
    <row r="924" ht="15.75" customHeight="1">
      <c r="C924" s="54"/>
      <c r="D924" s="55"/>
      <c r="E924" s="55"/>
      <c r="F924" s="55"/>
      <c r="H924" s="56"/>
      <c r="I924" s="99"/>
    </row>
    <row r="925" ht="15.75" customHeight="1">
      <c r="C925" s="54"/>
      <c r="D925" s="55"/>
      <c r="E925" s="55"/>
      <c r="F925" s="55"/>
      <c r="H925" s="56"/>
      <c r="I925" s="99"/>
    </row>
    <row r="926" ht="15.75" customHeight="1">
      <c r="C926" s="54"/>
      <c r="D926" s="55"/>
      <c r="E926" s="55"/>
      <c r="F926" s="55"/>
      <c r="H926" s="56"/>
      <c r="I926" s="99"/>
    </row>
    <row r="927" ht="15.75" customHeight="1">
      <c r="C927" s="54"/>
      <c r="D927" s="55"/>
      <c r="E927" s="55"/>
      <c r="F927" s="55"/>
      <c r="H927" s="56"/>
      <c r="I927" s="99"/>
    </row>
    <row r="928" ht="15.75" customHeight="1">
      <c r="C928" s="54"/>
      <c r="D928" s="55"/>
      <c r="E928" s="55"/>
      <c r="F928" s="55"/>
      <c r="H928" s="56"/>
      <c r="I928" s="99"/>
    </row>
    <row r="929" ht="15.75" customHeight="1">
      <c r="C929" s="54"/>
      <c r="D929" s="55"/>
      <c r="E929" s="55"/>
      <c r="F929" s="55"/>
      <c r="H929" s="56"/>
      <c r="I929" s="99"/>
    </row>
    <row r="930" ht="15.75" customHeight="1">
      <c r="C930" s="54"/>
      <c r="D930" s="55"/>
      <c r="E930" s="55"/>
      <c r="F930" s="55"/>
      <c r="H930" s="56"/>
      <c r="I930" s="99"/>
    </row>
    <row r="931" ht="15.75" customHeight="1">
      <c r="C931" s="54"/>
      <c r="D931" s="55"/>
      <c r="E931" s="55"/>
      <c r="F931" s="55"/>
      <c r="H931" s="56"/>
      <c r="I931" s="99"/>
    </row>
    <row r="932" ht="15.75" customHeight="1">
      <c r="C932" s="54"/>
      <c r="D932" s="55"/>
      <c r="E932" s="55"/>
      <c r="F932" s="55"/>
      <c r="H932" s="56"/>
      <c r="I932" s="99"/>
    </row>
    <row r="933" ht="15.75" customHeight="1">
      <c r="C933" s="54"/>
      <c r="D933" s="55"/>
      <c r="E933" s="55"/>
      <c r="F933" s="55"/>
      <c r="H933" s="56"/>
      <c r="I933" s="99"/>
    </row>
    <row r="934" ht="15.75" customHeight="1">
      <c r="C934" s="54"/>
      <c r="D934" s="55"/>
      <c r="E934" s="55"/>
      <c r="F934" s="55"/>
      <c r="H934" s="56"/>
      <c r="I934" s="99"/>
    </row>
    <row r="935" ht="15.75" customHeight="1">
      <c r="C935" s="54"/>
      <c r="D935" s="55"/>
      <c r="E935" s="55"/>
      <c r="F935" s="55"/>
      <c r="H935" s="56"/>
      <c r="I935" s="99"/>
    </row>
    <row r="936" ht="15.75" customHeight="1">
      <c r="C936" s="54"/>
      <c r="D936" s="55"/>
      <c r="E936" s="55"/>
      <c r="F936" s="55"/>
      <c r="H936" s="56"/>
      <c r="I936" s="99"/>
    </row>
    <row r="937" ht="15.75" customHeight="1">
      <c r="C937" s="54"/>
      <c r="D937" s="55"/>
      <c r="E937" s="55"/>
      <c r="F937" s="55"/>
      <c r="H937" s="56"/>
      <c r="I937" s="99"/>
    </row>
    <row r="938" ht="15.75" customHeight="1">
      <c r="C938" s="54"/>
      <c r="D938" s="55"/>
      <c r="E938" s="55"/>
      <c r="F938" s="55"/>
      <c r="H938" s="56"/>
      <c r="I938" s="99"/>
    </row>
    <row r="939" ht="15.75" customHeight="1">
      <c r="C939" s="54"/>
      <c r="D939" s="55"/>
      <c r="E939" s="55"/>
      <c r="F939" s="55"/>
      <c r="H939" s="56"/>
      <c r="I939" s="99"/>
    </row>
    <row r="940" ht="15.75" customHeight="1">
      <c r="C940" s="54"/>
      <c r="D940" s="55"/>
      <c r="E940" s="55"/>
      <c r="F940" s="55"/>
      <c r="H940" s="56"/>
      <c r="I940" s="99"/>
    </row>
    <row r="941" ht="15.75" customHeight="1">
      <c r="C941" s="54"/>
      <c r="D941" s="55"/>
      <c r="E941" s="55"/>
      <c r="F941" s="55"/>
      <c r="H941" s="56"/>
      <c r="I941" s="99"/>
    </row>
    <row r="942" ht="15.75" customHeight="1">
      <c r="C942" s="54"/>
      <c r="D942" s="55"/>
      <c r="E942" s="55"/>
      <c r="F942" s="55"/>
      <c r="H942" s="56"/>
      <c r="I942" s="99"/>
    </row>
    <row r="943" ht="15.75" customHeight="1">
      <c r="C943" s="54"/>
      <c r="D943" s="55"/>
      <c r="E943" s="55"/>
      <c r="F943" s="55"/>
      <c r="H943" s="56"/>
      <c r="I943" s="99"/>
    </row>
    <row r="944" ht="15.75" customHeight="1">
      <c r="C944" s="54"/>
      <c r="D944" s="55"/>
      <c r="E944" s="55"/>
      <c r="F944" s="55"/>
      <c r="H944" s="56"/>
      <c r="I944" s="99"/>
    </row>
    <row r="945" ht="15.75" customHeight="1">
      <c r="C945" s="54"/>
      <c r="D945" s="55"/>
      <c r="E945" s="55"/>
      <c r="F945" s="55"/>
      <c r="H945" s="56"/>
      <c r="I945" s="99"/>
    </row>
    <row r="946" ht="15.75" customHeight="1">
      <c r="C946" s="54"/>
      <c r="D946" s="55"/>
      <c r="E946" s="55"/>
      <c r="F946" s="55"/>
      <c r="H946" s="56"/>
      <c r="I946" s="99"/>
    </row>
    <row r="947" ht="15.75" customHeight="1">
      <c r="C947" s="54"/>
      <c r="D947" s="55"/>
      <c r="E947" s="55"/>
      <c r="F947" s="55"/>
      <c r="H947" s="56"/>
      <c r="I947" s="99"/>
    </row>
    <row r="948" ht="15.75" customHeight="1">
      <c r="C948" s="54"/>
      <c r="D948" s="55"/>
      <c r="E948" s="55"/>
      <c r="F948" s="55"/>
      <c r="H948" s="56"/>
      <c r="I948" s="99"/>
    </row>
    <row r="949" ht="15.75" customHeight="1">
      <c r="C949" s="54"/>
      <c r="D949" s="55"/>
      <c r="E949" s="55"/>
      <c r="F949" s="55"/>
      <c r="H949" s="56"/>
      <c r="I949" s="99"/>
    </row>
    <row r="950" ht="15.75" customHeight="1">
      <c r="C950" s="54"/>
      <c r="D950" s="55"/>
      <c r="E950" s="55"/>
      <c r="F950" s="55"/>
      <c r="H950" s="56"/>
      <c r="I950" s="99"/>
    </row>
    <row r="951" ht="15.75" customHeight="1">
      <c r="C951" s="54"/>
      <c r="D951" s="55"/>
      <c r="E951" s="55"/>
      <c r="F951" s="55"/>
      <c r="H951" s="56"/>
      <c r="I951" s="99"/>
    </row>
    <row r="952" ht="15.75" customHeight="1">
      <c r="C952" s="54"/>
      <c r="D952" s="55"/>
      <c r="E952" s="55"/>
      <c r="F952" s="55"/>
      <c r="H952" s="56"/>
      <c r="I952" s="99"/>
    </row>
    <row r="953" ht="15.75" customHeight="1">
      <c r="C953" s="54"/>
      <c r="D953" s="55"/>
      <c r="E953" s="55"/>
      <c r="F953" s="55"/>
      <c r="H953" s="56"/>
      <c r="I953" s="99"/>
    </row>
    <row r="954" ht="15.75" customHeight="1">
      <c r="C954" s="54"/>
      <c r="D954" s="55"/>
      <c r="E954" s="55"/>
      <c r="F954" s="55"/>
      <c r="H954" s="56"/>
      <c r="I954" s="99"/>
    </row>
    <row r="955" ht="15.75" customHeight="1">
      <c r="C955" s="54"/>
      <c r="D955" s="55"/>
      <c r="E955" s="55"/>
      <c r="F955" s="55"/>
      <c r="H955" s="56"/>
      <c r="I955" s="99"/>
    </row>
    <row r="956" ht="15.75" customHeight="1">
      <c r="C956" s="54"/>
      <c r="D956" s="55"/>
      <c r="E956" s="55"/>
      <c r="F956" s="55"/>
      <c r="H956" s="56"/>
      <c r="I956" s="99"/>
    </row>
    <row r="957" ht="15.75" customHeight="1">
      <c r="C957" s="54"/>
      <c r="D957" s="55"/>
      <c r="E957" s="55"/>
      <c r="F957" s="55"/>
      <c r="H957" s="56"/>
      <c r="I957" s="99"/>
    </row>
  </sheetData>
  <autoFilter ref="$B$1:$I$41"/>
  <mergeCells count="1">
    <mergeCell ref="B1:I1"/>
  </mergeCells>
  <printOptions/>
  <pageMargins bottom="0.75" footer="0.0" header="0.0" left="0.25" right="0.25" top="0.75"/>
  <pageSetup fitToWidth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2026-04-09T18:14:28Z</dcterms:created>
  <dc:creator>Maysa Barreiro</dc:creator>
</cp:coreProperties>
</file>